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ivotTables/pivotTable1.xml" ContentType="application/vnd.openxmlformats-officedocument.spreadsheetml.pivotTable+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9a4e8207d84fa710/Desktop/Git Hub/"/>
    </mc:Choice>
  </mc:AlternateContent>
  <xr:revisionPtr revIDLastSave="0" documentId="13_ncr:1_{539E0085-1283-44B2-8DED-1A07FFF329B8}" xr6:coauthVersionLast="47" xr6:coauthVersionMax="47" xr10:uidLastSave="{00000000-0000-0000-0000-000000000000}"/>
  <bookViews>
    <workbookView xWindow="-108" yWindow="-108" windowWidth="23256" windowHeight="12456" firstSheet="1" activeTab="1" xr2:uid="{AAC439D4-3353-430A-88BB-FF345B47E27E}"/>
  </bookViews>
  <sheets>
    <sheet name="SUNPHARMA Beta Calc" sheetId="1" state="hidden" r:id="rId1"/>
    <sheet name="Sun Pharmaceutical Industries" sheetId="8" r:id="rId2"/>
    <sheet name="CIPLA Beta Calc" sheetId="3" state="hidden" r:id="rId3"/>
    <sheet name="CIPLA " sheetId="10" r:id="rId4"/>
    <sheet name="DR. REDDY Beta Calc" sheetId="2" state="hidden" r:id="rId5"/>
    <sheet name="Dr. Reddy's Laboratories" sheetId="9" r:id="rId6"/>
    <sheet name="LUPIN Beta Calc" sheetId="4" state="hidden" r:id="rId7"/>
    <sheet name="LUPIN" sheetId="11" r:id="rId8"/>
    <sheet name="DIVISLAB Beta Calc" sheetId="5" state="hidden" r:id="rId9"/>
    <sheet name="Divis Labs" sheetId="12" r:id="rId10"/>
    <sheet name="Torrent Beta Calc" sheetId="6" state="hidden" r:id="rId11"/>
    <sheet name="Torrent Pharmaceuticals" sheetId="13" r:id="rId12"/>
    <sheet name="Nifty Pharma" sheetId="7" state="hidden" r:id="rId13"/>
    <sheet name="Comparative Analysis" sheetId="14" r:id="rId14"/>
  </sheets>
  <calcPr calcId="191028"/>
  <pivotCaches>
    <pivotCache cacheId="0"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52" i="8" l="1"/>
  <c r="S252" i="8"/>
  <c r="T251" i="8"/>
  <c r="S251" i="8"/>
  <c r="T250" i="8"/>
  <c r="S250" i="8"/>
  <c r="T249" i="8"/>
  <c r="S249" i="8"/>
  <c r="T248" i="8"/>
  <c r="S248" i="8"/>
  <c r="T247" i="8"/>
  <c r="S247" i="8"/>
  <c r="T246" i="8"/>
  <c r="S246" i="8"/>
  <c r="T245" i="8"/>
  <c r="S245" i="8"/>
  <c r="T244" i="8"/>
  <c r="S244" i="8"/>
  <c r="T243" i="8"/>
  <c r="S243" i="8"/>
  <c r="T242" i="8"/>
  <c r="S242" i="8"/>
  <c r="T241" i="8"/>
  <c r="S241" i="8"/>
  <c r="T240" i="8"/>
  <c r="S240" i="8"/>
  <c r="T239" i="8"/>
  <c r="S239" i="8"/>
  <c r="T238" i="8"/>
  <c r="S238" i="8"/>
  <c r="T237" i="8"/>
  <c r="S237" i="8"/>
  <c r="T236" i="8"/>
  <c r="S236" i="8"/>
  <c r="T235" i="8"/>
  <c r="S235" i="8"/>
  <c r="T234" i="8"/>
  <c r="S234" i="8"/>
  <c r="T233" i="8"/>
  <c r="S233" i="8"/>
  <c r="T232" i="8"/>
  <c r="S232" i="8"/>
  <c r="T231" i="8"/>
  <c r="S231" i="8"/>
  <c r="T230" i="8"/>
  <c r="S230" i="8"/>
  <c r="T229" i="8"/>
  <c r="S229" i="8"/>
  <c r="T228" i="8"/>
  <c r="S228" i="8"/>
  <c r="T227" i="8"/>
  <c r="S227" i="8"/>
  <c r="T226" i="8"/>
  <c r="S226" i="8"/>
  <c r="T225" i="8"/>
  <c r="S225" i="8"/>
  <c r="T224" i="8"/>
  <c r="S224" i="8"/>
  <c r="T223" i="8"/>
  <c r="S223" i="8"/>
  <c r="T222" i="8"/>
  <c r="S222" i="8"/>
  <c r="T221" i="8"/>
  <c r="S221" i="8"/>
  <c r="T220" i="8"/>
  <c r="S220" i="8"/>
  <c r="T219" i="8"/>
  <c r="S219" i="8"/>
  <c r="T218" i="8"/>
  <c r="S218" i="8"/>
  <c r="T217" i="8"/>
  <c r="S217" i="8"/>
  <c r="T216" i="8"/>
  <c r="S216" i="8"/>
  <c r="T215" i="8"/>
  <c r="S215" i="8"/>
  <c r="T214" i="8"/>
  <c r="S214" i="8"/>
  <c r="T213" i="8"/>
  <c r="S213" i="8"/>
  <c r="T212" i="8"/>
  <c r="S212" i="8"/>
  <c r="T211" i="8"/>
  <c r="S211" i="8"/>
  <c r="T210" i="8"/>
  <c r="S210" i="8"/>
  <c r="T209" i="8"/>
  <c r="S209" i="8"/>
  <c r="T208" i="8"/>
  <c r="S208" i="8"/>
  <c r="T207" i="8"/>
  <c r="S207" i="8"/>
  <c r="T206" i="8"/>
  <c r="S206" i="8"/>
  <c r="T205" i="8"/>
  <c r="S205" i="8"/>
  <c r="T204" i="8"/>
  <c r="S204" i="8"/>
  <c r="T203" i="8"/>
  <c r="S203" i="8"/>
  <c r="T202" i="8"/>
  <c r="S202" i="8"/>
  <c r="T201" i="8"/>
  <c r="S201" i="8"/>
  <c r="T200" i="8"/>
  <c r="S200" i="8"/>
  <c r="T199" i="8"/>
  <c r="S199" i="8"/>
  <c r="T198" i="8"/>
  <c r="S198" i="8"/>
  <c r="T197" i="8"/>
  <c r="S197" i="8"/>
  <c r="T196" i="8"/>
  <c r="S196" i="8"/>
  <c r="T195" i="8"/>
  <c r="S195" i="8"/>
  <c r="T194" i="8"/>
  <c r="S194" i="8"/>
  <c r="T193" i="8"/>
  <c r="S193" i="8"/>
  <c r="T192" i="8"/>
  <c r="S192" i="8"/>
  <c r="T191" i="8"/>
  <c r="S191" i="8"/>
  <c r="T190" i="8"/>
  <c r="S190" i="8"/>
  <c r="T189" i="8"/>
  <c r="S189" i="8"/>
  <c r="T188" i="8"/>
  <c r="S188" i="8"/>
  <c r="T187" i="8"/>
  <c r="S187" i="8"/>
  <c r="T186" i="8"/>
  <c r="S186" i="8"/>
  <c r="T185" i="8"/>
  <c r="S185" i="8"/>
  <c r="T184" i="8"/>
  <c r="S184" i="8"/>
  <c r="T183" i="8"/>
  <c r="S183" i="8"/>
  <c r="T182" i="8"/>
  <c r="S182" i="8"/>
  <c r="T181" i="8"/>
  <c r="S181" i="8"/>
  <c r="T180" i="8"/>
  <c r="S180" i="8"/>
  <c r="T179" i="8"/>
  <c r="S179" i="8"/>
  <c r="T178" i="8"/>
  <c r="S178" i="8"/>
  <c r="T177" i="8"/>
  <c r="S177" i="8"/>
  <c r="T176" i="8"/>
  <c r="S176" i="8"/>
  <c r="T175" i="8"/>
  <c r="S175" i="8"/>
  <c r="T174" i="8"/>
  <c r="S174" i="8"/>
  <c r="T173" i="8"/>
  <c r="S173" i="8"/>
  <c r="T172" i="8"/>
  <c r="S172" i="8"/>
  <c r="T171" i="8"/>
  <c r="S171" i="8"/>
  <c r="T170" i="8"/>
  <c r="S170" i="8"/>
  <c r="T169" i="8"/>
  <c r="S169" i="8"/>
  <c r="T168" i="8"/>
  <c r="S168" i="8"/>
  <c r="T167" i="8"/>
  <c r="S167" i="8"/>
  <c r="T166" i="8"/>
  <c r="S166" i="8"/>
  <c r="T165" i="8"/>
  <c r="S165" i="8"/>
  <c r="T164" i="8"/>
  <c r="S164" i="8"/>
  <c r="T163" i="8"/>
  <c r="S163" i="8"/>
  <c r="T162" i="8"/>
  <c r="S162" i="8"/>
  <c r="T161" i="8"/>
  <c r="S161" i="8"/>
  <c r="T160" i="8"/>
  <c r="S160" i="8"/>
  <c r="T159" i="8"/>
  <c r="S159" i="8"/>
  <c r="T158" i="8"/>
  <c r="S158" i="8"/>
  <c r="T157" i="8"/>
  <c r="S157" i="8"/>
  <c r="T156" i="8"/>
  <c r="S156" i="8"/>
  <c r="T155" i="8"/>
  <c r="S155" i="8"/>
  <c r="T154" i="8"/>
  <c r="S154" i="8"/>
  <c r="T153" i="8"/>
  <c r="S153" i="8"/>
  <c r="T152" i="8"/>
  <c r="S152" i="8"/>
  <c r="T151" i="8"/>
  <c r="S151" i="8"/>
  <c r="T150" i="8"/>
  <c r="S150" i="8"/>
  <c r="T149" i="8"/>
  <c r="S149" i="8"/>
  <c r="T148" i="8"/>
  <c r="S148" i="8"/>
  <c r="T147" i="8"/>
  <c r="S147" i="8"/>
  <c r="T146" i="8"/>
  <c r="S146" i="8"/>
  <c r="T145" i="8"/>
  <c r="S145" i="8"/>
  <c r="T144" i="8"/>
  <c r="S144" i="8"/>
  <c r="T143" i="8"/>
  <c r="S143" i="8"/>
  <c r="T142" i="8"/>
  <c r="S142" i="8"/>
  <c r="T141" i="8"/>
  <c r="S141" i="8"/>
  <c r="T140" i="8"/>
  <c r="S140" i="8"/>
  <c r="T139" i="8"/>
  <c r="S139" i="8"/>
  <c r="T138" i="8"/>
  <c r="S138" i="8"/>
  <c r="T137" i="8"/>
  <c r="S137" i="8"/>
  <c r="T136" i="8"/>
  <c r="S136" i="8"/>
  <c r="T135" i="8"/>
  <c r="S135" i="8"/>
  <c r="T134" i="8"/>
  <c r="S134" i="8"/>
  <c r="T133" i="8"/>
  <c r="S133" i="8"/>
  <c r="T132" i="8"/>
  <c r="S132" i="8"/>
  <c r="T131" i="8"/>
  <c r="S131" i="8"/>
  <c r="T130" i="8"/>
  <c r="S130" i="8"/>
  <c r="T129" i="8"/>
  <c r="S129" i="8"/>
  <c r="T128" i="8"/>
  <c r="S128" i="8"/>
  <c r="T127" i="8"/>
  <c r="S127" i="8"/>
  <c r="T126" i="8"/>
  <c r="S126" i="8"/>
  <c r="T125" i="8"/>
  <c r="S125" i="8"/>
  <c r="T124" i="8"/>
  <c r="S124" i="8"/>
  <c r="T123" i="8"/>
  <c r="S123" i="8"/>
  <c r="T122" i="8"/>
  <c r="S122" i="8"/>
  <c r="T121" i="8"/>
  <c r="S121" i="8"/>
  <c r="T120" i="8"/>
  <c r="S120" i="8"/>
  <c r="T119" i="8"/>
  <c r="S119" i="8"/>
  <c r="T118" i="8"/>
  <c r="S118" i="8"/>
  <c r="T117" i="8"/>
  <c r="S117" i="8"/>
  <c r="T116" i="8"/>
  <c r="S116" i="8"/>
  <c r="T115" i="8"/>
  <c r="S115" i="8"/>
  <c r="T114" i="8"/>
  <c r="S114" i="8"/>
  <c r="T113" i="8"/>
  <c r="S113" i="8"/>
  <c r="T112" i="8"/>
  <c r="S112" i="8"/>
  <c r="T111" i="8"/>
  <c r="S111" i="8"/>
  <c r="T110" i="8"/>
  <c r="S110" i="8"/>
  <c r="T109" i="8"/>
  <c r="S109" i="8"/>
  <c r="T108" i="8"/>
  <c r="S108" i="8"/>
  <c r="T107" i="8"/>
  <c r="S107" i="8"/>
  <c r="T106" i="8"/>
  <c r="S106" i="8"/>
  <c r="T105" i="8"/>
  <c r="S105" i="8"/>
  <c r="T104" i="8"/>
  <c r="S104" i="8"/>
  <c r="T103" i="8"/>
  <c r="S103" i="8"/>
  <c r="T102" i="8"/>
  <c r="S102" i="8"/>
  <c r="T101" i="8"/>
  <c r="S101" i="8"/>
  <c r="T100" i="8"/>
  <c r="S100" i="8"/>
  <c r="T99" i="8"/>
  <c r="S99" i="8"/>
  <c r="T98" i="8"/>
  <c r="S98" i="8"/>
  <c r="T97" i="8"/>
  <c r="S97" i="8"/>
  <c r="T96" i="8"/>
  <c r="S96" i="8"/>
  <c r="T95" i="8"/>
  <c r="S95" i="8"/>
  <c r="T94" i="8"/>
  <c r="S94" i="8"/>
  <c r="T93" i="8"/>
  <c r="S93" i="8"/>
  <c r="T92" i="8"/>
  <c r="S92" i="8"/>
  <c r="T91" i="8"/>
  <c r="S91" i="8"/>
  <c r="T90" i="8"/>
  <c r="S90" i="8"/>
  <c r="T89" i="8"/>
  <c r="S89" i="8"/>
  <c r="T88" i="8"/>
  <c r="S88" i="8"/>
  <c r="T87" i="8"/>
  <c r="S87" i="8"/>
  <c r="T86" i="8"/>
  <c r="S86" i="8"/>
  <c r="T85" i="8"/>
  <c r="S85" i="8"/>
  <c r="T84" i="8"/>
  <c r="S84" i="8"/>
  <c r="T83" i="8"/>
  <c r="S83" i="8"/>
  <c r="T82" i="8"/>
  <c r="S82" i="8"/>
  <c r="T81" i="8"/>
  <c r="S81" i="8"/>
  <c r="T80" i="8"/>
  <c r="S80" i="8"/>
  <c r="T79" i="8"/>
  <c r="S79" i="8"/>
  <c r="T78" i="8"/>
  <c r="S78" i="8"/>
  <c r="T77" i="8"/>
  <c r="S77" i="8"/>
  <c r="T76" i="8"/>
  <c r="S76" i="8"/>
  <c r="T75" i="8"/>
  <c r="S75" i="8"/>
  <c r="T74" i="8"/>
  <c r="S74" i="8"/>
  <c r="T73" i="8"/>
  <c r="S73" i="8"/>
  <c r="T72" i="8"/>
  <c r="S72" i="8"/>
  <c r="T71" i="8"/>
  <c r="S71" i="8"/>
  <c r="T70" i="8"/>
  <c r="S70" i="8"/>
  <c r="T69" i="8"/>
  <c r="S69" i="8"/>
  <c r="T68" i="8"/>
  <c r="S68" i="8"/>
  <c r="T67" i="8"/>
  <c r="S67" i="8"/>
  <c r="T66" i="8"/>
  <c r="S66" i="8"/>
  <c r="T65" i="8"/>
  <c r="S65" i="8"/>
  <c r="T64" i="8"/>
  <c r="S64" i="8"/>
  <c r="T63" i="8"/>
  <c r="S63" i="8"/>
  <c r="T62" i="8"/>
  <c r="S62" i="8"/>
  <c r="T61" i="8"/>
  <c r="S61" i="8"/>
  <c r="T60" i="8"/>
  <c r="S60" i="8"/>
  <c r="T59" i="8"/>
  <c r="S59" i="8"/>
  <c r="T58" i="8"/>
  <c r="S58" i="8"/>
  <c r="T57" i="8"/>
  <c r="S57" i="8"/>
  <c r="T56" i="8"/>
  <c r="S56" i="8"/>
  <c r="T55" i="8"/>
  <c r="S55" i="8"/>
  <c r="T54" i="8"/>
  <c r="S54" i="8"/>
  <c r="T53" i="8"/>
  <c r="S53" i="8"/>
  <c r="T52" i="8"/>
  <c r="S52" i="8"/>
  <c r="T51" i="8"/>
  <c r="S51" i="8"/>
  <c r="T50" i="8"/>
  <c r="S50" i="8"/>
  <c r="T49" i="8"/>
  <c r="S49" i="8"/>
  <c r="T48" i="8"/>
  <c r="S48" i="8"/>
  <c r="T47" i="8"/>
  <c r="S47" i="8"/>
  <c r="T46" i="8"/>
  <c r="S46" i="8"/>
  <c r="T45" i="8"/>
  <c r="S45" i="8"/>
  <c r="T44" i="8"/>
  <c r="S44" i="8"/>
  <c r="T43" i="8"/>
  <c r="S43" i="8"/>
  <c r="T42" i="8"/>
  <c r="S42" i="8"/>
  <c r="T41" i="8"/>
  <c r="S41" i="8"/>
  <c r="T40" i="8"/>
  <c r="S40" i="8"/>
  <c r="T39" i="8"/>
  <c r="S39" i="8"/>
  <c r="T38" i="8"/>
  <c r="S38" i="8"/>
  <c r="T37" i="8"/>
  <c r="S37" i="8"/>
  <c r="T36" i="8"/>
  <c r="S36" i="8"/>
  <c r="T35" i="8"/>
  <c r="S35" i="8"/>
  <c r="T34" i="8"/>
  <c r="S34" i="8"/>
  <c r="T33" i="8"/>
  <c r="S33" i="8"/>
  <c r="T32" i="8"/>
  <c r="S32" i="8"/>
  <c r="T31" i="8"/>
  <c r="S31" i="8"/>
  <c r="T30" i="8"/>
  <c r="S30" i="8"/>
  <c r="T29" i="8"/>
  <c r="S29" i="8"/>
  <c r="T28" i="8"/>
  <c r="S28" i="8"/>
  <c r="T27" i="8"/>
  <c r="S27" i="8"/>
  <c r="T26" i="8"/>
  <c r="S26" i="8"/>
  <c r="T25" i="8"/>
  <c r="S25" i="8"/>
  <c r="T24" i="8"/>
  <c r="S24" i="8"/>
  <c r="T23" i="8"/>
  <c r="S23" i="8"/>
  <c r="T22" i="8"/>
  <c r="S22" i="8"/>
  <c r="T21" i="8"/>
  <c r="S21" i="8"/>
  <c r="T20" i="8"/>
  <c r="S20" i="8"/>
  <c r="T19" i="8"/>
  <c r="S19" i="8"/>
  <c r="T18" i="8"/>
  <c r="S18" i="8"/>
  <c r="T17" i="8"/>
  <c r="S17" i="8"/>
  <c r="T16" i="8"/>
  <c r="S16" i="8"/>
  <c r="T15" i="8"/>
  <c r="S15" i="8"/>
  <c r="T14" i="8"/>
  <c r="S14" i="8"/>
  <c r="T13" i="8"/>
  <c r="S13" i="8"/>
  <c r="T12" i="8"/>
  <c r="S12" i="8"/>
  <c r="T11" i="8"/>
  <c r="S11" i="8"/>
  <c r="T10" i="8"/>
  <c r="S10" i="8"/>
  <c r="T9" i="8"/>
  <c r="S9" i="8"/>
  <c r="T8" i="8"/>
  <c r="S8" i="8"/>
  <c r="T7" i="8"/>
  <c r="S7" i="8"/>
  <c r="W10" i="8" s="1"/>
  <c r="X4" i="8"/>
  <c r="W4" i="8"/>
  <c r="W7" i="8" s="1"/>
  <c r="T252" i="10"/>
  <c r="S252" i="10"/>
  <c r="T251" i="10"/>
  <c r="S251" i="10"/>
  <c r="T250" i="10"/>
  <c r="S250" i="10"/>
  <c r="T249" i="10"/>
  <c r="S249" i="10"/>
  <c r="T248" i="10"/>
  <c r="S248" i="10"/>
  <c r="T247" i="10"/>
  <c r="S247" i="10"/>
  <c r="T246" i="10"/>
  <c r="S246" i="10"/>
  <c r="T245" i="10"/>
  <c r="S245" i="10"/>
  <c r="T244" i="10"/>
  <c r="S244" i="10"/>
  <c r="T243" i="10"/>
  <c r="S243" i="10"/>
  <c r="T242" i="10"/>
  <c r="S242" i="10"/>
  <c r="T241" i="10"/>
  <c r="S241" i="10"/>
  <c r="T240" i="10"/>
  <c r="S240" i="10"/>
  <c r="T239" i="10"/>
  <c r="S239" i="10"/>
  <c r="T238" i="10"/>
  <c r="S238" i="10"/>
  <c r="T237" i="10"/>
  <c r="S237" i="10"/>
  <c r="T236" i="10"/>
  <c r="S236" i="10"/>
  <c r="T235" i="10"/>
  <c r="S235" i="10"/>
  <c r="T234" i="10"/>
  <c r="S234" i="10"/>
  <c r="T233" i="10"/>
  <c r="S233" i="10"/>
  <c r="T232" i="10"/>
  <c r="S232" i="10"/>
  <c r="T231" i="10"/>
  <c r="S231" i="10"/>
  <c r="T230" i="10"/>
  <c r="S230" i="10"/>
  <c r="T229" i="10"/>
  <c r="S229" i="10"/>
  <c r="T228" i="10"/>
  <c r="S228" i="10"/>
  <c r="T227" i="10"/>
  <c r="S227" i="10"/>
  <c r="T226" i="10"/>
  <c r="S226" i="10"/>
  <c r="T225" i="10"/>
  <c r="S225" i="10"/>
  <c r="T224" i="10"/>
  <c r="S224" i="10"/>
  <c r="T223" i="10"/>
  <c r="S223" i="10"/>
  <c r="T222" i="10"/>
  <c r="S222" i="10"/>
  <c r="T221" i="10"/>
  <c r="S221" i="10"/>
  <c r="T220" i="10"/>
  <c r="S220" i="10"/>
  <c r="T219" i="10"/>
  <c r="S219" i="10"/>
  <c r="T218" i="10"/>
  <c r="S218" i="10"/>
  <c r="T217" i="10"/>
  <c r="S217" i="10"/>
  <c r="T216" i="10"/>
  <c r="S216" i="10"/>
  <c r="T215" i="10"/>
  <c r="S215" i="10"/>
  <c r="T214" i="10"/>
  <c r="S214" i="10"/>
  <c r="T213" i="10"/>
  <c r="S213" i="10"/>
  <c r="T212" i="10"/>
  <c r="S212" i="10"/>
  <c r="T211" i="10"/>
  <c r="S211" i="10"/>
  <c r="T210" i="10"/>
  <c r="S210" i="10"/>
  <c r="T209" i="10"/>
  <c r="S209" i="10"/>
  <c r="T208" i="10"/>
  <c r="S208" i="10"/>
  <c r="T207" i="10"/>
  <c r="S207" i="10"/>
  <c r="T206" i="10"/>
  <c r="S206" i="10"/>
  <c r="T205" i="10"/>
  <c r="S205" i="10"/>
  <c r="T204" i="10"/>
  <c r="S204" i="10"/>
  <c r="T203" i="10"/>
  <c r="S203" i="10"/>
  <c r="T202" i="10"/>
  <c r="S202" i="10"/>
  <c r="T201" i="10"/>
  <c r="S201" i="10"/>
  <c r="T200" i="10"/>
  <c r="S200" i="10"/>
  <c r="T199" i="10"/>
  <c r="S199" i="10"/>
  <c r="T198" i="10"/>
  <c r="S198" i="10"/>
  <c r="T197" i="10"/>
  <c r="S197" i="10"/>
  <c r="T196" i="10"/>
  <c r="S196" i="10"/>
  <c r="T195" i="10"/>
  <c r="S195" i="10"/>
  <c r="T194" i="10"/>
  <c r="S194" i="10"/>
  <c r="T193" i="10"/>
  <c r="S193" i="10"/>
  <c r="T192" i="10"/>
  <c r="S192" i="10"/>
  <c r="T191" i="10"/>
  <c r="S191" i="10"/>
  <c r="T190" i="10"/>
  <c r="S190" i="10"/>
  <c r="T189" i="10"/>
  <c r="S189" i="10"/>
  <c r="T188" i="10"/>
  <c r="S188" i="10"/>
  <c r="T187" i="10"/>
  <c r="S187" i="10"/>
  <c r="T186" i="10"/>
  <c r="S186" i="10"/>
  <c r="T185" i="10"/>
  <c r="S185" i="10"/>
  <c r="T184" i="10"/>
  <c r="S184" i="10"/>
  <c r="T183" i="10"/>
  <c r="S183" i="10"/>
  <c r="T182" i="10"/>
  <c r="S182" i="10"/>
  <c r="T181" i="10"/>
  <c r="S181" i="10"/>
  <c r="T180" i="10"/>
  <c r="S180" i="10"/>
  <c r="T179" i="10"/>
  <c r="S179" i="10"/>
  <c r="T178" i="10"/>
  <c r="S178" i="10"/>
  <c r="T177" i="10"/>
  <c r="S177" i="10"/>
  <c r="T176" i="10"/>
  <c r="S176" i="10"/>
  <c r="T175" i="10"/>
  <c r="S175" i="10"/>
  <c r="T174" i="10"/>
  <c r="S174" i="10"/>
  <c r="T173" i="10"/>
  <c r="S173" i="10"/>
  <c r="T172" i="10"/>
  <c r="S172" i="10"/>
  <c r="T171" i="10"/>
  <c r="S171" i="10"/>
  <c r="T170" i="10"/>
  <c r="S170" i="10"/>
  <c r="T169" i="10"/>
  <c r="S169" i="10"/>
  <c r="T168" i="10"/>
  <c r="S168" i="10"/>
  <c r="T167" i="10"/>
  <c r="S167" i="10"/>
  <c r="T166" i="10"/>
  <c r="S166" i="10"/>
  <c r="T165" i="10"/>
  <c r="S165" i="10"/>
  <c r="T164" i="10"/>
  <c r="S164" i="10"/>
  <c r="T163" i="10"/>
  <c r="S163" i="10"/>
  <c r="T162" i="10"/>
  <c r="S162" i="10"/>
  <c r="T161" i="10"/>
  <c r="S161" i="10"/>
  <c r="T160" i="10"/>
  <c r="S160" i="10"/>
  <c r="T159" i="10"/>
  <c r="S159" i="10"/>
  <c r="T158" i="10"/>
  <c r="S158" i="10"/>
  <c r="T157" i="10"/>
  <c r="S157" i="10"/>
  <c r="T156" i="10"/>
  <c r="S156" i="10"/>
  <c r="T155" i="10"/>
  <c r="S155" i="10"/>
  <c r="T154" i="10"/>
  <c r="S154" i="10"/>
  <c r="T153" i="10"/>
  <c r="S153" i="10"/>
  <c r="T152" i="10"/>
  <c r="S152" i="10"/>
  <c r="T151" i="10"/>
  <c r="S151" i="10"/>
  <c r="T150" i="10"/>
  <c r="S150" i="10"/>
  <c r="T149" i="10"/>
  <c r="S149" i="10"/>
  <c r="T148" i="10"/>
  <c r="S148" i="10"/>
  <c r="T147" i="10"/>
  <c r="S147" i="10"/>
  <c r="T146" i="10"/>
  <c r="S146" i="10"/>
  <c r="T145" i="10"/>
  <c r="S145" i="10"/>
  <c r="T144" i="10"/>
  <c r="S144" i="10"/>
  <c r="T143" i="10"/>
  <c r="S143" i="10"/>
  <c r="T142" i="10"/>
  <c r="S142" i="10"/>
  <c r="T141" i="10"/>
  <c r="S141" i="10"/>
  <c r="T140" i="10"/>
  <c r="S140" i="10"/>
  <c r="T139" i="10"/>
  <c r="S139" i="10"/>
  <c r="T138" i="10"/>
  <c r="S138" i="10"/>
  <c r="T137" i="10"/>
  <c r="S137" i="10"/>
  <c r="T136" i="10"/>
  <c r="S136" i="10"/>
  <c r="T135" i="10"/>
  <c r="S135" i="10"/>
  <c r="T134" i="10"/>
  <c r="S134" i="10"/>
  <c r="T133" i="10"/>
  <c r="S133" i="10"/>
  <c r="T132" i="10"/>
  <c r="S132" i="10"/>
  <c r="T131" i="10"/>
  <c r="S131" i="10"/>
  <c r="T130" i="10"/>
  <c r="S130" i="10"/>
  <c r="T129" i="10"/>
  <c r="S129" i="10"/>
  <c r="T128" i="10"/>
  <c r="S128" i="10"/>
  <c r="T127" i="10"/>
  <c r="S127" i="10"/>
  <c r="T126" i="10"/>
  <c r="S126" i="10"/>
  <c r="T125" i="10"/>
  <c r="S125" i="10"/>
  <c r="T124" i="10"/>
  <c r="S124" i="10"/>
  <c r="T123" i="10"/>
  <c r="S123" i="10"/>
  <c r="T122" i="10"/>
  <c r="S122" i="10"/>
  <c r="T121" i="10"/>
  <c r="S121" i="10"/>
  <c r="T120" i="10"/>
  <c r="S120" i="10"/>
  <c r="T119" i="10"/>
  <c r="S119" i="10"/>
  <c r="T118" i="10"/>
  <c r="S118" i="10"/>
  <c r="T117" i="10"/>
  <c r="S117" i="10"/>
  <c r="T116" i="10"/>
  <c r="S116" i="10"/>
  <c r="T115" i="10"/>
  <c r="S115" i="10"/>
  <c r="T114" i="10"/>
  <c r="S114" i="10"/>
  <c r="T113" i="10"/>
  <c r="S113" i="10"/>
  <c r="T112" i="10"/>
  <c r="S112" i="10"/>
  <c r="T111" i="10"/>
  <c r="S111" i="10"/>
  <c r="T110" i="10"/>
  <c r="S110" i="10"/>
  <c r="T109" i="10"/>
  <c r="S109" i="10"/>
  <c r="T108" i="10"/>
  <c r="S108" i="10"/>
  <c r="T107" i="10"/>
  <c r="S107" i="10"/>
  <c r="T106" i="10"/>
  <c r="S106" i="10"/>
  <c r="T105" i="10"/>
  <c r="S105" i="10"/>
  <c r="T104" i="10"/>
  <c r="S104" i="10"/>
  <c r="T103" i="10"/>
  <c r="S103" i="10"/>
  <c r="T102" i="10"/>
  <c r="S102" i="10"/>
  <c r="T101" i="10"/>
  <c r="S101" i="10"/>
  <c r="T100" i="10"/>
  <c r="S100" i="10"/>
  <c r="T99" i="10"/>
  <c r="S99" i="10"/>
  <c r="T98" i="10"/>
  <c r="S98" i="10"/>
  <c r="T97" i="10"/>
  <c r="S97" i="10"/>
  <c r="T96" i="10"/>
  <c r="S96" i="10"/>
  <c r="T95" i="10"/>
  <c r="S95" i="10"/>
  <c r="T94" i="10"/>
  <c r="S94" i="10"/>
  <c r="T93" i="10"/>
  <c r="S93" i="10"/>
  <c r="T92" i="10"/>
  <c r="S92" i="10"/>
  <c r="T91" i="10"/>
  <c r="S91" i="10"/>
  <c r="T90" i="10"/>
  <c r="S90" i="10"/>
  <c r="T89" i="10"/>
  <c r="S89" i="10"/>
  <c r="T88" i="10"/>
  <c r="S88" i="10"/>
  <c r="T87" i="10"/>
  <c r="S87" i="10"/>
  <c r="T86" i="10"/>
  <c r="S86" i="10"/>
  <c r="T85" i="10"/>
  <c r="S85" i="10"/>
  <c r="T84" i="10"/>
  <c r="S84" i="10"/>
  <c r="T83" i="10"/>
  <c r="S83" i="10"/>
  <c r="T82" i="10"/>
  <c r="S82" i="10"/>
  <c r="T81" i="10"/>
  <c r="S81" i="10"/>
  <c r="T80" i="10"/>
  <c r="S80" i="10"/>
  <c r="T79" i="10"/>
  <c r="S79" i="10"/>
  <c r="T78" i="10"/>
  <c r="S78" i="10"/>
  <c r="T77" i="10"/>
  <c r="S77" i="10"/>
  <c r="T76" i="10"/>
  <c r="S76" i="10"/>
  <c r="T75" i="10"/>
  <c r="S75" i="10"/>
  <c r="T74" i="10"/>
  <c r="S74" i="10"/>
  <c r="T73" i="10"/>
  <c r="S73" i="10"/>
  <c r="T72" i="10"/>
  <c r="S72" i="10"/>
  <c r="T71" i="10"/>
  <c r="S71" i="10"/>
  <c r="T70" i="10"/>
  <c r="S70" i="10"/>
  <c r="T69" i="10"/>
  <c r="S69" i="10"/>
  <c r="T68" i="10"/>
  <c r="S68" i="10"/>
  <c r="T67" i="10"/>
  <c r="S67" i="10"/>
  <c r="T66" i="10"/>
  <c r="S66" i="10"/>
  <c r="T65" i="10"/>
  <c r="S65" i="10"/>
  <c r="T64" i="10"/>
  <c r="S64" i="10"/>
  <c r="T63" i="10"/>
  <c r="S63" i="10"/>
  <c r="T62" i="10"/>
  <c r="S62" i="10"/>
  <c r="T61" i="10"/>
  <c r="S61" i="10"/>
  <c r="T60" i="10"/>
  <c r="S60" i="10"/>
  <c r="T59" i="10"/>
  <c r="S59" i="10"/>
  <c r="T58" i="10"/>
  <c r="S58" i="10"/>
  <c r="T57" i="10"/>
  <c r="S57" i="10"/>
  <c r="T56" i="10"/>
  <c r="S56" i="10"/>
  <c r="T55" i="10"/>
  <c r="S55" i="10"/>
  <c r="T54" i="10"/>
  <c r="S54" i="10"/>
  <c r="T53" i="10"/>
  <c r="S53" i="10"/>
  <c r="T52" i="10"/>
  <c r="S52" i="10"/>
  <c r="T51" i="10"/>
  <c r="S51" i="10"/>
  <c r="T50" i="10"/>
  <c r="S50" i="10"/>
  <c r="T49" i="10"/>
  <c r="S49" i="10"/>
  <c r="T48" i="10"/>
  <c r="S48" i="10"/>
  <c r="T47" i="10"/>
  <c r="S47" i="10"/>
  <c r="T46" i="10"/>
  <c r="S46" i="10"/>
  <c r="T45" i="10"/>
  <c r="S45" i="10"/>
  <c r="T44" i="10"/>
  <c r="S44" i="10"/>
  <c r="T43" i="10"/>
  <c r="S43" i="10"/>
  <c r="T42" i="10"/>
  <c r="S42" i="10"/>
  <c r="T41" i="10"/>
  <c r="S41" i="10"/>
  <c r="T40" i="10"/>
  <c r="S40" i="10"/>
  <c r="T39" i="10"/>
  <c r="S39" i="10"/>
  <c r="T38" i="10"/>
  <c r="S38" i="10"/>
  <c r="T37" i="10"/>
  <c r="S37" i="10"/>
  <c r="T36" i="10"/>
  <c r="S36" i="10"/>
  <c r="T35" i="10"/>
  <c r="S35" i="10"/>
  <c r="T34" i="10"/>
  <c r="S34" i="10"/>
  <c r="T33" i="10"/>
  <c r="S33" i="10"/>
  <c r="T32" i="10"/>
  <c r="S32" i="10"/>
  <c r="T31" i="10"/>
  <c r="S31" i="10"/>
  <c r="T30" i="10"/>
  <c r="S30" i="10"/>
  <c r="T29" i="10"/>
  <c r="S29" i="10"/>
  <c r="T28" i="10"/>
  <c r="S28" i="10"/>
  <c r="T27" i="10"/>
  <c r="S27" i="10"/>
  <c r="T26" i="10"/>
  <c r="S26" i="10"/>
  <c r="T25" i="10"/>
  <c r="S25" i="10"/>
  <c r="T24" i="10"/>
  <c r="S24" i="10"/>
  <c r="T23" i="10"/>
  <c r="S23" i="10"/>
  <c r="T22" i="10"/>
  <c r="S22" i="10"/>
  <c r="T21" i="10"/>
  <c r="S21" i="10"/>
  <c r="T20" i="10"/>
  <c r="S20" i="10"/>
  <c r="T19" i="10"/>
  <c r="S19" i="10"/>
  <c r="T18" i="10"/>
  <c r="S18" i="10"/>
  <c r="T17" i="10"/>
  <c r="S17" i="10"/>
  <c r="T16" i="10"/>
  <c r="S16" i="10"/>
  <c r="T15" i="10"/>
  <c r="S15" i="10"/>
  <c r="T14" i="10"/>
  <c r="S14" i="10"/>
  <c r="T13" i="10"/>
  <c r="S13" i="10"/>
  <c r="T12" i="10"/>
  <c r="S12" i="10"/>
  <c r="T11" i="10"/>
  <c r="S11" i="10"/>
  <c r="T10" i="10"/>
  <c r="S10" i="10"/>
  <c r="T9" i="10"/>
  <c r="S9" i="10"/>
  <c r="T8" i="10"/>
  <c r="S8" i="10"/>
  <c r="T7" i="10"/>
  <c r="S7" i="10"/>
  <c r="W10" i="10" s="1"/>
  <c r="X4" i="10"/>
  <c r="W4" i="10"/>
  <c r="W7" i="10" s="1"/>
  <c r="T252" i="9"/>
  <c r="S252" i="9"/>
  <c r="T251" i="9"/>
  <c r="S251" i="9"/>
  <c r="T250" i="9"/>
  <c r="S250" i="9"/>
  <c r="T249" i="9"/>
  <c r="S249" i="9"/>
  <c r="T248" i="9"/>
  <c r="S248" i="9"/>
  <c r="T247" i="9"/>
  <c r="S247" i="9"/>
  <c r="T246" i="9"/>
  <c r="S246" i="9"/>
  <c r="T245" i="9"/>
  <c r="S245" i="9"/>
  <c r="T244" i="9"/>
  <c r="S244" i="9"/>
  <c r="T243" i="9"/>
  <c r="S243" i="9"/>
  <c r="T242" i="9"/>
  <c r="S242" i="9"/>
  <c r="T241" i="9"/>
  <c r="S241" i="9"/>
  <c r="T240" i="9"/>
  <c r="S240" i="9"/>
  <c r="T239" i="9"/>
  <c r="S239" i="9"/>
  <c r="T238" i="9"/>
  <c r="S238" i="9"/>
  <c r="T237" i="9"/>
  <c r="S237" i="9"/>
  <c r="T236" i="9"/>
  <c r="S236" i="9"/>
  <c r="T235" i="9"/>
  <c r="S235" i="9"/>
  <c r="T234" i="9"/>
  <c r="S234" i="9"/>
  <c r="T233" i="9"/>
  <c r="S233" i="9"/>
  <c r="T232" i="9"/>
  <c r="S232" i="9"/>
  <c r="T231" i="9"/>
  <c r="S231" i="9"/>
  <c r="T230" i="9"/>
  <c r="S230" i="9"/>
  <c r="T229" i="9"/>
  <c r="S229" i="9"/>
  <c r="T228" i="9"/>
  <c r="S228" i="9"/>
  <c r="T227" i="9"/>
  <c r="S227" i="9"/>
  <c r="T226" i="9"/>
  <c r="S226" i="9"/>
  <c r="T225" i="9"/>
  <c r="S225" i="9"/>
  <c r="T224" i="9"/>
  <c r="S224" i="9"/>
  <c r="T223" i="9"/>
  <c r="S223" i="9"/>
  <c r="T222" i="9"/>
  <c r="S222" i="9"/>
  <c r="T221" i="9"/>
  <c r="S221" i="9"/>
  <c r="T220" i="9"/>
  <c r="S220" i="9"/>
  <c r="T219" i="9"/>
  <c r="S219" i="9"/>
  <c r="T218" i="9"/>
  <c r="S218" i="9"/>
  <c r="T217" i="9"/>
  <c r="S217" i="9"/>
  <c r="T216" i="9"/>
  <c r="S216" i="9"/>
  <c r="T215" i="9"/>
  <c r="S215" i="9"/>
  <c r="T214" i="9"/>
  <c r="S214" i="9"/>
  <c r="T213" i="9"/>
  <c r="S213" i="9"/>
  <c r="T212" i="9"/>
  <c r="S212" i="9"/>
  <c r="T211" i="9"/>
  <c r="S211" i="9"/>
  <c r="T210" i="9"/>
  <c r="S210" i="9"/>
  <c r="T209" i="9"/>
  <c r="S209" i="9"/>
  <c r="T208" i="9"/>
  <c r="S208" i="9"/>
  <c r="T207" i="9"/>
  <c r="S207" i="9"/>
  <c r="T206" i="9"/>
  <c r="S206" i="9"/>
  <c r="T205" i="9"/>
  <c r="S205" i="9"/>
  <c r="T204" i="9"/>
  <c r="S204" i="9"/>
  <c r="T203" i="9"/>
  <c r="S203" i="9"/>
  <c r="T202" i="9"/>
  <c r="S202" i="9"/>
  <c r="T201" i="9"/>
  <c r="S201" i="9"/>
  <c r="T200" i="9"/>
  <c r="S200" i="9"/>
  <c r="T199" i="9"/>
  <c r="S199" i="9"/>
  <c r="T198" i="9"/>
  <c r="S198" i="9"/>
  <c r="T197" i="9"/>
  <c r="S197" i="9"/>
  <c r="T196" i="9"/>
  <c r="S196" i="9"/>
  <c r="T195" i="9"/>
  <c r="S195" i="9"/>
  <c r="T194" i="9"/>
  <c r="S194" i="9"/>
  <c r="T193" i="9"/>
  <c r="S193" i="9"/>
  <c r="T192" i="9"/>
  <c r="S192" i="9"/>
  <c r="T191" i="9"/>
  <c r="S191" i="9"/>
  <c r="T190" i="9"/>
  <c r="S190" i="9"/>
  <c r="T189" i="9"/>
  <c r="S189" i="9"/>
  <c r="T188" i="9"/>
  <c r="S188" i="9"/>
  <c r="T187" i="9"/>
  <c r="S187" i="9"/>
  <c r="T186" i="9"/>
  <c r="S186" i="9"/>
  <c r="T185" i="9"/>
  <c r="S185" i="9"/>
  <c r="T184" i="9"/>
  <c r="S184" i="9"/>
  <c r="T183" i="9"/>
  <c r="S183" i="9"/>
  <c r="T182" i="9"/>
  <c r="S182" i="9"/>
  <c r="T181" i="9"/>
  <c r="S181" i="9"/>
  <c r="T180" i="9"/>
  <c r="S180" i="9"/>
  <c r="T179" i="9"/>
  <c r="S179" i="9"/>
  <c r="T178" i="9"/>
  <c r="S178" i="9"/>
  <c r="T177" i="9"/>
  <c r="S177" i="9"/>
  <c r="T176" i="9"/>
  <c r="S176" i="9"/>
  <c r="T175" i="9"/>
  <c r="S175" i="9"/>
  <c r="T174" i="9"/>
  <c r="S174" i="9"/>
  <c r="T173" i="9"/>
  <c r="S173" i="9"/>
  <c r="T172" i="9"/>
  <c r="S172" i="9"/>
  <c r="T171" i="9"/>
  <c r="S171" i="9"/>
  <c r="T170" i="9"/>
  <c r="S170" i="9"/>
  <c r="T169" i="9"/>
  <c r="S169" i="9"/>
  <c r="T168" i="9"/>
  <c r="S168" i="9"/>
  <c r="T167" i="9"/>
  <c r="S167" i="9"/>
  <c r="T166" i="9"/>
  <c r="S166" i="9"/>
  <c r="T165" i="9"/>
  <c r="S165" i="9"/>
  <c r="T164" i="9"/>
  <c r="S164" i="9"/>
  <c r="T163" i="9"/>
  <c r="S163" i="9"/>
  <c r="T162" i="9"/>
  <c r="S162" i="9"/>
  <c r="T161" i="9"/>
  <c r="S161" i="9"/>
  <c r="T160" i="9"/>
  <c r="S160" i="9"/>
  <c r="T159" i="9"/>
  <c r="S159" i="9"/>
  <c r="T158" i="9"/>
  <c r="S158" i="9"/>
  <c r="T157" i="9"/>
  <c r="S157" i="9"/>
  <c r="T156" i="9"/>
  <c r="S156" i="9"/>
  <c r="T155" i="9"/>
  <c r="S155" i="9"/>
  <c r="T154" i="9"/>
  <c r="S154" i="9"/>
  <c r="T153" i="9"/>
  <c r="S153" i="9"/>
  <c r="T152" i="9"/>
  <c r="S152" i="9"/>
  <c r="T151" i="9"/>
  <c r="S151" i="9"/>
  <c r="T150" i="9"/>
  <c r="S150" i="9"/>
  <c r="T149" i="9"/>
  <c r="S149" i="9"/>
  <c r="T148" i="9"/>
  <c r="S148" i="9"/>
  <c r="T147" i="9"/>
  <c r="S147" i="9"/>
  <c r="T146" i="9"/>
  <c r="S146" i="9"/>
  <c r="T145" i="9"/>
  <c r="S145" i="9"/>
  <c r="T144" i="9"/>
  <c r="S144" i="9"/>
  <c r="T143" i="9"/>
  <c r="S143" i="9"/>
  <c r="T142" i="9"/>
  <c r="S142" i="9"/>
  <c r="T141" i="9"/>
  <c r="S141" i="9"/>
  <c r="T140" i="9"/>
  <c r="S140" i="9"/>
  <c r="T139" i="9"/>
  <c r="S139" i="9"/>
  <c r="T138" i="9"/>
  <c r="S138" i="9"/>
  <c r="T137" i="9"/>
  <c r="S137" i="9"/>
  <c r="T136" i="9"/>
  <c r="S136" i="9"/>
  <c r="T135" i="9"/>
  <c r="S135" i="9"/>
  <c r="T134" i="9"/>
  <c r="S134" i="9"/>
  <c r="T133" i="9"/>
  <c r="S133" i="9"/>
  <c r="T132" i="9"/>
  <c r="S132" i="9"/>
  <c r="T131" i="9"/>
  <c r="S131" i="9"/>
  <c r="T130" i="9"/>
  <c r="S130" i="9"/>
  <c r="T129" i="9"/>
  <c r="S129" i="9"/>
  <c r="T128" i="9"/>
  <c r="S128" i="9"/>
  <c r="T127" i="9"/>
  <c r="S127" i="9"/>
  <c r="T126" i="9"/>
  <c r="S126" i="9"/>
  <c r="T125" i="9"/>
  <c r="S125" i="9"/>
  <c r="T124" i="9"/>
  <c r="S124" i="9"/>
  <c r="T123" i="9"/>
  <c r="S123" i="9"/>
  <c r="T122" i="9"/>
  <c r="S122" i="9"/>
  <c r="T121" i="9"/>
  <c r="S121" i="9"/>
  <c r="T120" i="9"/>
  <c r="S120" i="9"/>
  <c r="T119" i="9"/>
  <c r="S119" i="9"/>
  <c r="T118" i="9"/>
  <c r="S118" i="9"/>
  <c r="T117" i="9"/>
  <c r="S117" i="9"/>
  <c r="T116" i="9"/>
  <c r="S116" i="9"/>
  <c r="T115" i="9"/>
  <c r="S115" i="9"/>
  <c r="T114" i="9"/>
  <c r="S114" i="9"/>
  <c r="T113" i="9"/>
  <c r="S113" i="9"/>
  <c r="T112" i="9"/>
  <c r="S112" i="9"/>
  <c r="T111" i="9"/>
  <c r="S111" i="9"/>
  <c r="T110" i="9"/>
  <c r="S110" i="9"/>
  <c r="T109" i="9"/>
  <c r="S109" i="9"/>
  <c r="T108" i="9"/>
  <c r="S108" i="9"/>
  <c r="T107" i="9"/>
  <c r="S107" i="9"/>
  <c r="T106" i="9"/>
  <c r="S106" i="9"/>
  <c r="T105" i="9"/>
  <c r="S105" i="9"/>
  <c r="T104" i="9"/>
  <c r="S104" i="9"/>
  <c r="T103" i="9"/>
  <c r="S103" i="9"/>
  <c r="T102" i="9"/>
  <c r="S102" i="9"/>
  <c r="T101" i="9"/>
  <c r="S101" i="9"/>
  <c r="T100" i="9"/>
  <c r="S100" i="9"/>
  <c r="T99" i="9"/>
  <c r="S99" i="9"/>
  <c r="T98" i="9"/>
  <c r="S98" i="9"/>
  <c r="T97" i="9"/>
  <c r="S97" i="9"/>
  <c r="T96" i="9"/>
  <c r="S96" i="9"/>
  <c r="T95" i="9"/>
  <c r="S95" i="9"/>
  <c r="T94" i="9"/>
  <c r="S94" i="9"/>
  <c r="T93" i="9"/>
  <c r="S93" i="9"/>
  <c r="T92" i="9"/>
  <c r="S92" i="9"/>
  <c r="T91" i="9"/>
  <c r="S91" i="9"/>
  <c r="T90" i="9"/>
  <c r="S90" i="9"/>
  <c r="T89" i="9"/>
  <c r="S89" i="9"/>
  <c r="T88" i="9"/>
  <c r="S88" i="9"/>
  <c r="T87" i="9"/>
  <c r="S87" i="9"/>
  <c r="T86" i="9"/>
  <c r="S86" i="9"/>
  <c r="T85" i="9"/>
  <c r="S85" i="9"/>
  <c r="T84" i="9"/>
  <c r="S84" i="9"/>
  <c r="T83" i="9"/>
  <c r="S83" i="9"/>
  <c r="T82" i="9"/>
  <c r="S82" i="9"/>
  <c r="T81" i="9"/>
  <c r="S81" i="9"/>
  <c r="T80" i="9"/>
  <c r="S80" i="9"/>
  <c r="T79" i="9"/>
  <c r="S79" i="9"/>
  <c r="T78" i="9"/>
  <c r="S78" i="9"/>
  <c r="T77" i="9"/>
  <c r="S77" i="9"/>
  <c r="T76" i="9"/>
  <c r="S76" i="9"/>
  <c r="T75" i="9"/>
  <c r="S75" i="9"/>
  <c r="T74" i="9"/>
  <c r="S74" i="9"/>
  <c r="T73" i="9"/>
  <c r="S73" i="9"/>
  <c r="T72" i="9"/>
  <c r="S72" i="9"/>
  <c r="T71" i="9"/>
  <c r="S71" i="9"/>
  <c r="T70" i="9"/>
  <c r="S70" i="9"/>
  <c r="T69" i="9"/>
  <c r="S69" i="9"/>
  <c r="T68" i="9"/>
  <c r="S68" i="9"/>
  <c r="T67" i="9"/>
  <c r="S67" i="9"/>
  <c r="T66" i="9"/>
  <c r="S66" i="9"/>
  <c r="T65" i="9"/>
  <c r="S65" i="9"/>
  <c r="T64" i="9"/>
  <c r="S64" i="9"/>
  <c r="T63" i="9"/>
  <c r="S63" i="9"/>
  <c r="T62" i="9"/>
  <c r="S62" i="9"/>
  <c r="T61" i="9"/>
  <c r="S61" i="9"/>
  <c r="T60" i="9"/>
  <c r="S60" i="9"/>
  <c r="T59" i="9"/>
  <c r="S59" i="9"/>
  <c r="T58" i="9"/>
  <c r="S58" i="9"/>
  <c r="T57" i="9"/>
  <c r="S57" i="9"/>
  <c r="T56" i="9"/>
  <c r="S56" i="9"/>
  <c r="T55" i="9"/>
  <c r="S55" i="9"/>
  <c r="T54" i="9"/>
  <c r="S54" i="9"/>
  <c r="T53" i="9"/>
  <c r="S53" i="9"/>
  <c r="T52" i="9"/>
  <c r="S52" i="9"/>
  <c r="T51" i="9"/>
  <c r="S51" i="9"/>
  <c r="T50" i="9"/>
  <c r="S50" i="9"/>
  <c r="T49" i="9"/>
  <c r="S49" i="9"/>
  <c r="T48" i="9"/>
  <c r="S48" i="9"/>
  <c r="T47" i="9"/>
  <c r="S47" i="9"/>
  <c r="T46" i="9"/>
  <c r="S46" i="9"/>
  <c r="T45" i="9"/>
  <c r="S45" i="9"/>
  <c r="T44" i="9"/>
  <c r="S44" i="9"/>
  <c r="T43" i="9"/>
  <c r="S43" i="9"/>
  <c r="T42" i="9"/>
  <c r="S42" i="9"/>
  <c r="T41" i="9"/>
  <c r="S41" i="9"/>
  <c r="T40" i="9"/>
  <c r="S40" i="9"/>
  <c r="T39" i="9"/>
  <c r="S39" i="9"/>
  <c r="T38" i="9"/>
  <c r="S38" i="9"/>
  <c r="T37" i="9"/>
  <c r="S37" i="9"/>
  <c r="T36" i="9"/>
  <c r="S36" i="9"/>
  <c r="T35" i="9"/>
  <c r="S35" i="9"/>
  <c r="T34" i="9"/>
  <c r="S34" i="9"/>
  <c r="T33" i="9"/>
  <c r="S33" i="9"/>
  <c r="T32" i="9"/>
  <c r="S32" i="9"/>
  <c r="T31" i="9"/>
  <c r="S31" i="9"/>
  <c r="T30" i="9"/>
  <c r="S30" i="9"/>
  <c r="T29" i="9"/>
  <c r="S29" i="9"/>
  <c r="T28" i="9"/>
  <c r="S28" i="9"/>
  <c r="T27" i="9"/>
  <c r="S27" i="9"/>
  <c r="T26" i="9"/>
  <c r="S26" i="9"/>
  <c r="T25" i="9"/>
  <c r="S25" i="9"/>
  <c r="T24" i="9"/>
  <c r="S24" i="9"/>
  <c r="T23" i="9"/>
  <c r="S23" i="9"/>
  <c r="T22" i="9"/>
  <c r="S22" i="9"/>
  <c r="T21" i="9"/>
  <c r="S21" i="9"/>
  <c r="T20" i="9"/>
  <c r="S20" i="9"/>
  <c r="T19" i="9"/>
  <c r="S19" i="9"/>
  <c r="T18" i="9"/>
  <c r="S18" i="9"/>
  <c r="T17" i="9"/>
  <c r="S17" i="9"/>
  <c r="T16" i="9"/>
  <c r="S16" i="9"/>
  <c r="T15" i="9"/>
  <c r="S15" i="9"/>
  <c r="T14" i="9"/>
  <c r="S14" i="9"/>
  <c r="T13" i="9"/>
  <c r="S13" i="9"/>
  <c r="T12" i="9"/>
  <c r="S12" i="9"/>
  <c r="T11" i="9"/>
  <c r="S11" i="9"/>
  <c r="T10" i="9"/>
  <c r="S10" i="9"/>
  <c r="T9" i="9"/>
  <c r="S9" i="9"/>
  <c r="T8" i="9"/>
  <c r="S8" i="9"/>
  <c r="T7" i="9"/>
  <c r="S7" i="9"/>
  <c r="W10" i="9" s="1"/>
  <c r="X4" i="9"/>
  <c r="W4" i="9"/>
  <c r="W7" i="9" s="1"/>
  <c r="T252" i="11"/>
  <c r="S252" i="11"/>
  <c r="T251" i="11"/>
  <c r="S251" i="11"/>
  <c r="T250" i="11"/>
  <c r="S250" i="11"/>
  <c r="T249" i="11"/>
  <c r="S249" i="11"/>
  <c r="T248" i="11"/>
  <c r="S248" i="11"/>
  <c r="T247" i="11"/>
  <c r="S247" i="11"/>
  <c r="T246" i="11"/>
  <c r="S246" i="11"/>
  <c r="T245" i="11"/>
  <c r="S245" i="11"/>
  <c r="T244" i="11"/>
  <c r="S244" i="11"/>
  <c r="T243" i="11"/>
  <c r="S243" i="11"/>
  <c r="T242" i="11"/>
  <c r="S242" i="11"/>
  <c r="T241" i="11"/>
  <c r="S241" i="11"/>
  <c r="T240" i="11"/>
  <c r="S240" i="11"/>
  <c r="T239" i="11"/>
  <c r="S239" i="11"/>
  <c r="T238" i="11"/>
  <c r="S238" i="11"/>
  <c r="T237" i="11"/>
  <c r="S237" i="11"/>
  <c r="T236" i="11"/>
  <c r="S236" i="11"/>
  <c r="T235" i="11"/>
  <c r="S235" i="11"/>
  <c r="T234" i="11"/>
  <c r="S234" i="11"/>
  <c r="T233" i="11"/>
  <c r="S233" i="11"/>
  <c r="T232" i="11"/>
  <c r="S232" i="11"/>
  <c r="T231" i="11"/>
  <c r="S231" i="11"/>
  <c r="T230" i="11"/>
  <c r="S230" i="11"/>
  <c r="T229" i="11"/>
  <c r="S229" i="11"/>
  <c r="T228" i="11"/>
  <c r="S228" i="11"/>
  <c r="T227" i="11"/>
  <c r="S227" i="11"/>
  <c r="T226" i="11"/>
  <c r="S226" i="11"/>
  <c r="T225" i="11"/>
  <c r="S225" i="11"/>
  <c r="T224" i="11"/>
  <c r="S224" i="11"/>
  <c r="T223" i="11"/>
  <c r="S223" i="11"/>
  <c r="T222" i="11"/>
  <c r="S222" i="11"/>
  <c r="T221" i="11"/>
  <c r="S221" i="11"/>
  <c r="T220" i="11"/>
  <c r="S220" i="11"/>
  <c r="T219" i="11"/>
  <c r="S219" i="11"/>
  <c r="T218" i="11"/>
  <c r="S218" i="11"/>
  <c r="T217" i="11"/>
  <c r="S217" i="11"/>
  <c r="T216" i="11"/>
  <c r="S216" i="11"/>
  <c r="T215" i="11"/>
  <c r="S215" i="11"/>
  <c r="T214" i="11"/>
  <c r="S214" i="11"/>
  <c r="T213" i="11"/>
  <c r="S213" i="11"/>
  <c r="T212" i="11"/>
  <c r="S212" i="11"/>
  <c r="T211" i="11"/>
  <c r="S211" i="11"/>
  <c r="T210" i="11"/>
  <c r="S210" i="11"/>
  <c r="T209" i="11"/>
  <c r="S209" i="11"/>
  <c r="T208" i="11"/>
  <c r="S208" i="11"/>
  <c r="T207" i="11"/>
  <c r="S207" i="11"/>
  <c r="T206" i="11"/>
  <c r="S206" i="11"/>
  <c r="T205" i="11"/>
  <c r="S205" i="11"/>
  <c r="T204" i="11"/>
  <c r="S204" i="11"/>
  <c r="T203" i="11"/>
  <c r="S203" i="11"/>
  <c r="T202" i="11"/>
  <c r="S202" i="11"/>
  <c r="T201" i="11"/>
  <c r="S201" i="11"/>
  <c r="T200" i="11"/>
  <c r="S200" i="11"/>
  <c r="T199" i="11"/>
  <c r="S199" i="11"/>
  <c r="T198" i="11"/>
  <c r="S198" i="11"/>
  <c r="T197" i="11"/>
  <c r="S197" i="11"/>
  <c r="T196" i="11"/>
  <c r="S196" i="11"/>
  <c r="T195" i="11"/>
  <c r="S195" i="11"/>
  <c r="T194" i="11"/>
  <c r="S194" i="11"/>
  <c r="T193" i="11"/>
  <c r="S193" i="11"/>
  <c r="T192" i="11"/>
  <c r="S192" i="11"/>
  <c r="T191" i="11"/>
  <c r="S191" i="11"/>
  <c r="T190" i="11"/>
  <c r="S190" i="11"/>
  <c r="T189" i="11"/>
  <c r="S189" i="11"/>
  <c r="T188" i="11"/>
  <c r="S188" i="11"/>
  <c r="T187" i="11"/>
  <c r="S187" i="11"/>
  <c r="T186" i="11"/>
  <c r="S186" i="11"/>
  <c r="T185" i="11"/>
  <c r="S185" i="11"/>
  <c r="T184" i="11"/>
  <c r="S184" i="11"/>
  <c r="T183" i="11"/>
  <c r="S183" i="11"/>
  <c r="T182" i="11"/>
  <c r="S182" i="11"/>
  <c r="T181" i="11"/>
  <c r="S181" i="11"/>
  <c r="T180" i="11"/>
  <c r="S180" i="11"/>
  <c r="T179" i="11"/>
  <c r="S179" i="11"/>
  <c r="T178" i="11"/>
  <c r="S178" i="11"/>
  <c r="T177" i="11"/>
  <c r="S177" i="11"/>
  <c r="T176" i="11"/>
  <c r="S176" i="11"/>
  <c r="T175" i="11"/>
  <c r="S175" i="11"/>
  <c r="T174" i="11"/>
  <c r="S174" i="11"/>
  <c r="T173" i="11"/>
  <c r="S173" i="11"/>
  <c r="T172" i="11"/>
  <c r="S172" i="11"/>
  <c r="T171" i="11"/>
  <c r="S171" i="11"/>
  <c r="T170" i="11"/>
  <c r="S170" i="11"/>
  <c r="T169" i="11"/>
  <c r="S169" i="11"/>
  <c r="T168" i="11"/>
  <c r="S168" i="11"/>
  <c r="T167" i="11"/>
  <c r="S167" i="11"/>
  <c r="T166" i="11"/>
  <c r="S166" i="11"/>
  <c r="T165" i="11"/>
  <c r="S165" i="11"/>
  <c r="T164" i="11"/>
  <c r="S164" i="11"/>
  <c r="T163" i="11"/>
  <c r="S163" i="11"/>
  <c r="T162" i="11"/>
  <c r="S162" i="11"/>
  <c r="T161" i="11"/>
  <c r="S161" i="11"/>
  <c r="T160" i="11"/>
  <c r="S160" i="11"/>
  <c r="T159" i="11"/>
  <c r="S159" i="11"/>
  <c r="T158" i="11"/>
  <c r="S158" i="11"/>
  <c r="T157" i="11"/>
  <c r="S157" i="11"/>
  <c r="T156" i="11"/>
  <c r="S156" i="11"/>
  <c r="T155" i="11"/>
  <c r="S155" i="11"/>
  <c r="T154" i="11"/>
  <c r="S154" i="11"/>
  <c r="T153" i="11"/>
  <c r="S153" i="11"/>
  <c r="T152" i="11"/>
  <c r="S152" i="11"/>
  <c r="T151" i="11"/>
  <c r="S151" i="11"/>
  <c r="T150" i="11"/>
  <c r="S150" i="11"/>
  <c r="T149" i="11"/>
  <c r="S149" i="11"/>
  <c r="T148" i="11"/>
  <c r="S148" i="11"/>
  <c r="T147" i="11"/>
  <c r="S147" i="11"/>
  <c r="T146" i="11"/>
  <c r="S146" i="11"/>
  <c r="T145" i="11"/>
  <c r="S145" i="11"/>
  <c r="T144" i="11"/>
  <c r="S144" i="11"/>
  <c r="T143" i="11"/>
  <c r="S143" i="11"/>
  <c r="T142" i="11"/>
  <c r="S142" i="11"/>
  <c r="T141" i="11"/>
  <c r="S141" i="11"/>
  <c r="T140" i="11"/>
  <c r="S140" i="11"/>
  <c r="T139" i="11"/>
  <c r="S139" i="11"/>
  <c r="T138" i="11"/>
  <c r="S138" i="11"/>
  <c r="T137" i="11"/>
  <c r="S137" i="11"/>
  <c r="T136" i="11"/>
  <c r="S136" i="11"/>
  <c r="T135" i="11"/>
  <c r="S135" i="11"/>
  <c r="T134" i="11"/>
  <c r="S134" i="11"/>
  <c r="T133" i="11"/>
  <c r="S133" i="11"/>
  <c r="T132" i="11"/>
  <c r="S132" i="11"/>
  <c r="T131" i="11"/>
  <c r="S131" i="11"/>
  <c r="T130" i="11"/>
  <c r="S130" i="11"/>
  <c r="T129" i="11"/>
  <c r="S129" i="11"/>
  <c r="T128" i="11"/>
  <c r="S128" i="11"/>
  <c r="T127" i="11"/>
  <c r="S127" i="11"/>
  <c r="T126" i="11"/>
  <c r="S126" i="11"/>
  <c r="T125" i="11"/>
  <c r="S125" i="11"/>
  <c r="T124" i="11"/>
  <c r="S124" i="11"/>
  <c r="T123" i="11"/>
  <c r="S123" i="11"/>
  <c r="T122" i="11"/>
  <c r="S122" i="11"/>
  <c r="T121" i="11"/>
  <c r="S121" i="11"/>
  <c r="T120" i="11"/>
  <c r="S120" i="11"/>
  <c r="T119" i="11"/>
  <c r="S119" i="11"/>
  <c r="T118" i="11"/>
  <c r="S118" i="11"/>
  <c r="T117" i="11"/>
  <c r="S117" i="11"/>
  <c r="T116" i="11"/>
  <c r="S116" i="11"/>
  <c r="T115" i="11"/>
  <c r="S115" i="11"/>
  <c r="T114" i="11"/>
  <c r="S114" i="11"/>
  <c r="T113" i="11"/>
  <c r="S113" i="11"/>
  <c r="T112" i="11"/>
  <c r="S112" i="11"/>
  <c r="T111" i="11"/>
  <c r="S111" i="11"/>
  <c r="T110" i="11"/>
  <c r="S110" i="11"/>
  <c r="T109" i="11"/>
  <c r="S109" i="11"/>
  <c r="T108" i="11"/>
  <c r="S108" i="11"/>
  <c r="T107" i="11"/>
  <c r="S107" i="11"/>
  <c r="T106" i="11"/>
  <c r="S106" i="11"/>
  <c r="T105" i="11"/>
  <c r="S105" i="11"/>
  <c r="T104" i="11"/>
  <c r="S104" i="11"/>
  <c r="T103" i="11"/>
  <c r="S103" i="11"/>
  <c r="T102" i="11"/>
  <c r="S102" i="11"/>
  <c r="T101" i="11"/>
  <c r="S101" i="11"/>
  <c r="T100" i="11"/>
  <c r="S100" i="11"/>
  <c r="T99" i="11"/>
  <c r="S99" i="11"/>
  <c r="T98" i="11"/>
  <c r="S98" i="11"/>
  <c r="T97" i="11"/>
  <c r="S97" i="11"/>
  <c r="T96" i="11"/>
  <c r="S96" i="11"/>
  <c r="T95" i="11"/>
  <c r="S95" i="11"/>
  <c r="T94" i="11"/>
  <c r="S94" i="11"/>
  <c r="T93" i="11"/>
  <c r="S93" i="11"/>
  <c r="T92" i="11"/>
  <c r="S92" i="11"/>
  <c r="T91" i="11"/>
  <c r="S91" i="11"/>
  <c r="T90" i="11"/>
  <c r="S90" i="11"/>
  <c r="T89" i="11"/>
  <c r="S89" i="11"/>
  <c r="T88" i="11"/>
  <c r="S88" i="11"/>
  <c r="T87" i="11"/>
  <c r="S87" i="11"/>
  <c r="T86" i="11"/>
  <c r="S86" i="11"/>
  <c r="T85" i="11"/>
  <c r="S85" i="11"/>
  <c r="T84" i="11"/>
  <c r="S84" i="11"/>
  <c r="T83" i="11"/>
  <c r="S83" i="11"/>
  <c r="T82" i="11"/>
  <c r="S82" i="11"/>
  <c r="T81" i="11"/>
  <c r="S81" i="11"/>
  <c r="T80" i="11"/>
  <c r="S80" i="11"/>
  <c r="T79" i="11"/>
  <c r="S79" i="11"/>
  <c r="T78" i="11"/>
  <c r="S78" i="11"/>
  <c r="T77" i="11"/>
  <c r="S77" i="11"/>
  <c r="T76" i="11"/>
  <c r="S76" i="11"/>
  <c r="T75" i="11"/>
  <c r="S75" i="11"/>
  <c r="T74" i="11"/>
  <c r="S74" i="11"/>
  <c r="T73" i="11"/>
  <c r="S73" i="11"/>
  <c r="T72" i="11"/>
  <c r="S72" i="11"/>
  <c r="T71" i="11"/>
  <c r="S71" i="11"/>
  <c r="T70" i="11"/>
  <c r="S70" i="11"/>
  <c r="T69" i="11"/>
  <c r="S69" i="11"/>
  <c r="T68" i="11"/>
  <c r="S68" i="11"/>
  <c r="T67" i="11"/>
  <c r="S67" i="11"/>
  <c r="T66" i="11"/>
  <c r="S66" i="11"/>
  <c r="T65" i="11"/>
  <c r="S65" i="11"/>
  <c r="T64" i="11"/>
  <c r="S64" i="11"/>
  <c r="T63" i="11"/>
  <c r="S63" i="11"/>
  <c r="T62" i="11"/>
  <c r="S62" i="11"/>
  <c r="T61" i="11"/>
  <c r="S61" i="11"/>
  <c r="T60" i="11"/>
  <c r="S60" i="11"/>
  <c r="T59" i="11"/>
  <c r="S59" i="11"/>
  <c r="T58" i="11"/>
  <c r="S58" i="11"/>
  <c r="T57" i="11"/>
  <c r="S57" i="11"/>
  <c r="T56" i="11"/>
  <c r="S56" i="11"/>
  <c r="T55" i="11"/>
  <c r="S55" i="11"/>
  <c r="T54" i="11"/>
  <c r="S54" i="11"/>
  <c r="T53" i="11"/>
  <c r="S53" i="11"/>
  <c r="T52" i="11"/>
  <c r="S52" i="11"/>
  <c r="T51" i="11"/>
  <c r="S51" i="11"/>
  <c r="T50" i="11"/>
  <c r="S50" i="11"/>
  <c r="T49" i="11"/>
  <c r="S49" i="11"/>
  <c r="T48" i="11"/>
  <c r="S48" i="11"/>
  <c r="T47" i="11"/>
  <c r="S47" i="11"/>
  <c r="T46" i="11"/>
  <c r="S46" i="11"/>
  <c r="T45" i="11"/>
  <c r="S45" i="11"/>
  <c r="T44" i="11"/>
  <c r="S44" i="11"/>
  <c r="T43" i="11"/>
  <c r="S43" i="11"/>
  <c r="T42" i="11"/>
  <c r="S42" i="11"/>
  <c r="T41" i="11"/>
  <c r="S41" i="11"/>
  <c r="T40" i="11"/>
  <c r="S40" i="11"/>
  <c r="T39" i="11"/>
  <c r="S39" i="11"/>
  <c r="T38" i="11"/>
  <c r="S38" i="11"/>
  <c r="T37" i="11"/>
  <c r="S37" i="11"/>
  <c r="T36" i="11"/>
  <c r="S36" i="11"/>
  <c r="T35" i="11"/>
  <c r="S35" i="11"/>
  <c r="T34" i="11"/>
  <c r="S34" i="11"/>
  <c r="T33" i="11"/>
  <c r="S33" i="11"/>
  <c r="T32" i="11"/>
  <c r="S32" i="11"/>
  <c r="T31" i="11"/>
  <c r="S31" i="11"/>
  <c r="T30" i="11"/>
  <c r="S30" i="11"/>
  <c r="T29" i="11"/>
  <c r="S29" i="11"/>
  <c r="T28" i="11"/>
  <c r="S28" i="11"/>
  <c r="T27" i="11"/>
  <c r="S27" i="11"/>
  <c r="T26" i="11"/>
  <c r="S26" i="11"/>
  <c r="T25" i="11"/>
  <c r="S25" i="11"/>
  <c r="T24" i="11"/>
  <c r="S24" i="11"/>
  <c r="T23" i="11"/>
  <c r="S23" i="11"/>
  <c r="T22" i="11"/>
  <c r="S22" i="11"/>
  <c r="T21" i="11"/>
  <c r="S21" i="11"/>
  <c r="T20" i="11"/>
  <c r="S20" i="11"/>
  <c r="T19" i="11"/>
  <c r="S19" i="11"/>
  <c r="T18" i="11"/>
  <c r="S18" i="11"/>
  <c r="T17" i="11"/>
  <c r="S17" i="11"/>
  <c r="T16" i="11"/>
  <c r="S16" i="11"/>
  <c r="T15" i="11"/>
  <c r="S15" i="11"/>
  <c r="T14" i="11"/>
  <c r="S14" i="11"/>
  <c r="T13" i="11"/>
  <c r="S13" i="11"/>
  <c r="T12" i="11"/>
  <c r="S12" i="11"/>
  <c r="T11" i="11"/>
  <c r="S11" i="11"/>
  <c r="T10" i="11"/>
  <c r="S10" i="11"/>
  <c r="T9" i="11"/>
  <c r="S9" i="11"/>
  <c r="T8" i="11"/>
  <c r="S8" i="11"/>
  <c r="T7" i="11"/>
  <c r="S7" i="11"/>
  <c r="W10" i="11" s="1"/>
  <c r="X4" i="11"/>
  <c r="W4" i="11"/>
  <c r="W7" i="11" s="1"/>
  <c r="T252" i="12"/>
  <c r="S252" i="12"/>
  <c r="T251" i="12"/>
  <c r="S251" i="12"/>
  <c r="T250" i="12"/>
  <c r="S250" i="12"/>
  <c r="T249" i="12"/>
  <c r="S249" i="12"/>
  <c r="T248" i="12"/>
  <c r="S248" i="12"/>
  <c r="T247" i="12"/>
  <c r="S247" i="12"/>
  <c r="T246" i="12"/>
  <c r="S246" i="12"/>
  <c r="T245" i="12"/>
  <c r="S245" i="12"/>
  <c r="T244" i="12"/>
  <c r="S244" i="12"/>
  <c r="T243" i="12"/>
  <c r="S243" i="12"/>
  <c r="T242" i="12"/>
  <c r="S242" i="12"/>
  <c r="T241" i="12"/>
  <c r="S241" i="12"/>
  <c r="T240" i="12"/>
  <c r="S240" i="12"/>
  <c r="T239" i="12"/>
  <c r="S239" i="12"/>
  <c r="T238" i="12"/>
  <c r="S238" i="12"/>
  <c r="T237" i="12"/>
  <c r="S237" i="12"/>
  <c r="T236" i="12"/>
  <c r="S236" i="12"/>
  <c r="T235" i="12"/>
  <c r="S235" i="12"/>
  <c r="T234" i="12"/>
  <c r="S234" i="12"/>
  <c r="T233" i="12"/>
  <c r="S233" i="12"/>
  <c r="T232" i="12"/>
  <c r="S232" i="12"/>
  <c r="T231" i="12"/>
  <c r="S231" i="12"/>
  <c r="T230" i="12"/>
  <c r="S230" i="12"/>
  <c r="T229" i="12"/>
  <c r="S229" i="12"/>
  <c r="T228" i="12"/>
  <c r="S228" i="12"/>
  <c r="T227" i="12"/>
  <c r="S227" i="12"/>
  <c r="T226" i="12"/>
  <c r="S226" i="12"/>
  <c r="T225" i="12"/>
  <c r="S225" i="12"/>
  <c r="T224" i="12"/>
  <c r="S224" i="12"/>
  <c r="T223" i="12"/>
  <c r="S223" i="12"/>
  <c r="T222" i="12"/>
  <c r="S222" i="12"/>
  <c r="T221" i="12"/>
  <c r="S221" i="12"/>
  <c r="T220" i="12"/>
  <c r="S220" i="12"/>
  <c r="T219" i="12"/>
  <c r="S219" i="12"/>
  <c r="T218" i="12"/>
  <c r="S218" i="12"/>
  <c r="T217" i="12"/>
  <c r="S217" i="12"/>
  <c r="T216" i="12"/>
  <c r="S216" i="12"/>
  <c r="T215" i="12"/>
  <c r="S215" i="12"/>
  <c r="T214" i="12"/>
  <c r="S214" i="12"/>
  <c r="T213" i="12"/>
  <c r="S213" i="12"/>
  <c r="T212" i="12"/>
  <c r="S212" i="12"/>
  <c r="T211" i="12"/>
  <c r="S211" i="12"/>
  <c r="T210" i="12"/>
  <c r="S210" i="12"/>
  <c r="T209" i="12"/>
  <c r="S209" i="12"/>
  <c r="T208" i="12"/>
  <c r="S208" i="12"/>
  <c r="T207" i="12"/>
  <c r="S207" i="12"/>
  <c r="T206" i="12"/>
  <c r="S206" i="12"/>
  <c r="T205" i="12"/>
  <c r="S205" i="12"/>
  <c r="T204" i="12"/>
  <c r="S204" i="12"/>
  <c r="T203" i="12"/>
  <c r="S203" i="12"/>
  <c r="T202" i="12"/>
  <c r="S202" i="12"/>
  <c r="T201" i="12"/>
  <c r="S201" i="12"/>
  <c r="T200" i="12"/>
  <c r="S200" i="12"/>
  <c r="T199" i="12"/>
  <c r="S199" i="12"/>
  <c r="T198" i="12"/>
  <c r="S198" i="12"/>
  <c r="T197" i="12"/>
  <c r="S197" i="12"/>
  <c r="T196" i="12"/>
  <c r="S196" i="12"/>
  <c r="T195" i="12"/>
  <c r="S195" i="12"/>
  <c r="T194" i="12"/>
  <c r="S194" i="12"/>
  <c r="T193" i="12"/>
  <c r="S193" i="12"/>
  <c r="T192" i="12"/>
  <c r="S192" i="12"/>
  <c r="T191" i="12"/>
  <c r="S191" i="12"/>
  <c r="T190" i="12"/>
  <c r="S190" i="12"/>
  <c r="T189" i="12"/>
  <c r="S189" i="12"/>
  <c r="T188" i="12"/>
  <c r="S188" i="12"/>
  <c r="T187" i="12"/>
  <c r="S187" i="12"/>
  <c r="T186" i="12"/>
  <c r="S186" i="12"/>
  <c r="T185" i="12"/>
  <c r="S185" i="12"/>
  <c r="T184" i="12"/>
  <c r="S184" i="12"/>
  <c r="T183" i="12"/>
  <c r="S183" i="12"/>
  <c r="T182" i="12"/>
  <c r="S182" i="12"/>
  <c r="T181" i="12"/>
  <c r="S181" i="12"/>
  <c r="T180" i="12"/>
  <c r="S180" i="12"/>
  <c r="T179" i="12"/>
  <c r="S179" i="12"/>
  <c r="T178" i="12"/>
  <c r="S178" i="12"/>
  <c r="T177" i="12"/>
  <c r="S177" i="12"/>
  <c r="T176" i="12"/>
  <c r="S176" i="12"/>
  <c r="T175" i="12"/>
  <c r="S175" i="12"/>
  <c r="T174" i="12"/>
  <c r="S174" i="12"/>
  <c r="T173" i="12"/>
  <c r="S173" i="12"/>
  <c r="T172" i="12"/>
  <c r="S172" i="12"/>
  <c r="T171" i="12"/>
  <c r="S171" i="12"/>
  <c r="T170" i="12"/>
  <c r="S170" i="12"/>
  <c r="T169" i="12"/>
  <c r="S169" i="12"/>
  <c r="T168" i="12"/>
  <c r="S168" i="12"/>
  <c r="T167" i="12"/>
  <c r="S167" i="12"/>
  <c r="T166" i="12"/>
  <c r="S166" i="12"/>
  <c r="T165" i="12"/>
  <c r="S165" i="12"/>
  <c r="T164" i="12"/>
  <c r="S164" i="12"/>
  <c r="T163" i="12"/>
  <c r="S163" i="12"/>
  <c r="T162" i="12"/>
  <c r="S162" i="12"/>
  <c r="T161" i="12"/>
  <c r="S161" i="12"/>
  <c r="T160" i="12"/>
  <c r="S160" i="12"/>
  <c r="T159" i="12"/>
  <c r="S159" i="12"/>
  <c r="T158" i="12"/>
  <c r="S158" i="12"/>
  <c r="T157" i="12"/>
  <c r="S157" i="12"/>
  <c r="T156" i="12"/>
  <c r="S156" i="12"/>
  <c r="T155" i="12"/>
  <c r="S155" i="12"/>
  <c r="T154" i="12"/>
  <c r="S154" i="12"/>
  <c r="T153" i="12"/>
  <c r="S153" i="12"/>
  <c r="T152" i="12"/>
  <c r="S152" i="12"/>
  <c r="T151" i="12"/>
  <c r="S151" i="12"/>
  <c r="T150" i="12"/>
  <c r="S150" i="12"/>
  <c r="T149" i="12"/>
  <c r="S149" i="12"/>
  <c r="T148" i="12"/>
  <c r="S148" i="12"/>
  <c r="T147" i="12"/>
  <c r="S147" i="12"/>
  <c r="T146" i="12"/>
  <c r="S146" i="12"/>
  <c r="T145" i="12"/>
  <c r="S145" i="12"/>
  <c r="T144" i="12"/>
  <c r="S144" i="12"/>
  <c r="T143" i="12"/>
  <c r="S143" i="12"/>
  <c r="T142" i="12"/>
  <c r="S142" i="12"/>
  <c r="T141" i="12"/>
  <c r="S141" i="12"/>
  <c r="T140" i="12"/>
  <c r="S140" i="12"/>
  <c r="T139" i="12"/>
  <c r="S139" i="12"/>
  <c r="T138" i="12"/>
  <c r="S138" i="12"/>
  <c r="T137" i="12"/>
  <c r="S137" i="12"/>
  <c r="T136" i="12"/>
  <c r="S136" i="12"/>
  <c r="T135" i="12"/>
  <c r="S135" i="12"/>
  <c r="T134" i="12"/>
  <c r="S134" i="12"/>
  <c r="T133" i="12"/>
  <c r="S133" i="12"/>
  <c r="T132" i="12"/>
  <c r="S132" i="12"/>
  <c r="T131" i="12"/>
  <c r="S131" i="12"/>
  <c r="T130" i="12"/>
  <c r="S130" i="12"/>
  <c r="T129" i="12"/>
  <c r="S129" i="12"/>
  <c r="T128" i="12"/>
  <c r="S128" i="12"/>
  <c r="T127" i="12"/>
  <c r="S127" i="12"/>
  <c r="T126" i="12"/>
  <c r="S126" i="12"/>
  <c r="T125" i="12"/>
  <c r="S125" i="12"/>
  <c r="T124" i="12"/>
  <c r="S124" i="12"/>
  <c r="T123" i="12"/>
  <c r="S123" i="12"/>
  <c r="T122" i="12"/>
  <c r="S122" i="12"/>
  <c r="T121" i="12"/>
  <c r="S121" i="12"/>
  <c r="T120" i="12"/>
  <c r="S120" i="12"/>
  <c r="T119" i="12"/>
  <c r="S119" i="12"/>
  <c r="T118" i="12"/>
  <c r="S118" i="12"/>
  <c r="T117" i="12"/>
  <c r="S117" i="12"/>
  <c r="T116" i="12"/>
  <c r="S116" i="12"/>
  <c r="T115" i="12"/>
  <c r="S115" i="12"/>
  <c r="T114" i="12"/>
  <c r="S114" i="12"/>
  <c r="T113" i="12"/>
  <c r="S113" i="12"/>
  <c r="T112" i="12"/>
  <c r="S112" i="12"/>
  <c r="T111" i="12"/>
  <c r="S111" i="12"/>
  <c r="T110" i="12"/>
  <c r="S110" i="12"/>
  <c r="T109" i="12"/>
  <c r="S109" i="12"/>
  <c r="T108" i="12"/>
  <c r="S108" i="12"/>
  <c r="T107" i="12"/>
  <c r="S107" i="12"/>
  <c r="T106" i="12"/>
  <c r="S106" i="12"/>
  <c r="T105" i="12"/>
  <c r="S105" i="12"/>
  <c r="T104" i="12"/>
  <c r="S104" i="12"/>
  <c r="T103" i="12"/>
  <c r="S103" i="12"/>
  <c r="T102" i="12"/>
  <c r="S102" i="12"/>
  <c r="T101" i="12"/>
  <c r="S101" i="12"/>
  <c r="T100" i="12"/>
  <c r="S100" i="12"/>
  <c r="T99" i="12"/>
  <c r="S99" i="12"/>
  <c r="T98" i="12"/>
  <c r="S98" i="12"/>
  <c r="T97" i="12"/>
  <c r="S97" i="12"/>
  <c r="T96" i="12"/>
  <c r="S96" i="12"/>
  <c r="T95" i="12"/>
  <c r="S95" i="12"/>
  <c r="T94" i="12"/>
  <c r="S94" i="12"/>
  <c r="T93" i="12"/>
  <c r="S93" i="12"/>
  <c r="T92" i="12"/>
  <c r="S92" i="12"/>
  <c r="T91" i="12"/>
  <c r="S91" i="12"/>
  <c r="T90" i="12"/>
  <c r="S90" i="12"/>
  <c r="T89" i="12"/>
  <c r="S89" i="12"/>
  <c r="T88" i="12"/>
  <c r="S88" i="12"/>
  <c r="T87" i="12"/>
  <c r="S87" i="12"/>
  <c r="T86" i="12"/>
  <c r="S86" i="12"/>
  <c r="T85" i="12"/>
  <c r="S85" i="12"/>
  <c r="T84" i="12"/>
  <c r="S84" i="12"/>
  <c r="T83" i="12"/>
  <c r="S83" i="12"/>
  <c r="T82" i="12"/>
  <c r="S82" i="12"/>
  <c r="T81" i="12"/>
  <c r="S81" i="12"/>
  <c r="T80" i="12"/>
  <c r="S80" i="12"/>
  <c r="T79" i="12"/>
  <c r="S79" i="12"/>
  <c r="T78" i="12"/>
  <c r="S78" i="12"/>
  <c r="T77" i="12"/>
  <c r="S77" i="12"/>
  <c r="T76" i="12"/>
  <c r="S76" i="12"/>
  <c r="T75" i="12"/>
  <c r="S75" i="12"/>
  <c r="T74" i="12"/>
  <c r="S74" i="12"/>
  <c r="T73" i="12"/>
  <c r="S73" i="12"/>
  <c r="T72" i="12"/>
  <c r="S72" i="12"/>
  <c r="T71" i="12"/>
  <c r="S71" i="12"/>
  <c r="T70" i="12"/>
  <c r="S70" i="12"/>
  <c r="T69" i="12"/>
  <c r="S69" i="12"/>
  <c r="T68" i="12"/>
  <c r="S68" i="12"/>
  <c r="T67" i="12"/>
  <c r="S67" i="12"/>
  <c r="T66" i="12"/>
  <c r="S66" i="12"/>
  <c r="T65" i="12"/>
  <c r="S65" i="12"/>
  <c r="T64" i="12"/>
  <c r="S64" i="12"/>
  <c r="T63" i="12"/>
  <c r="S63" i="12"/>
  <c r="T62" i="12"/>
  <c r="S62" i="12"/>
  <c r="T61" i="12"/>
  <c r="S61" i="12"/>
  <c r="T60" i="12"/>
  <c r="S60" i="12"/>
  <c r="T59" i="12"/>
  <c r="S59" i="12"/>
  <c r="T58" i="12"/>
  <c r="S58" i="12"/>
  <c r="T57" i="12"/>
  <c r="S57" i="12"/>
  <c r="T56" i="12"/>
  <c r="S56" i="12"/>
  <c r="T55" i="12"/>
  <c r="S55" i="12"/>
  <c r="T54" i="12"/>
  <c r="S54" i="12"/>
  <c r="T53" i="12"/>
  <c r="S53" i="12"/>
  <c r="T52" i="12"/>
  <c r="S52" i="12"/>
  <c r="T51" i="12"/>
  <c r="S51" i="12"/>
  <c r="T50" i="12"/>
  <c r="S50" i="12"/>
  <c r="T49" i="12"/>
  <c r="S49" i="12"/>
  <c r="T48" i="12"/>
  <c r="S48" i="12"/>
  <c r="T47" i="12"/>
  <c r="S47" i="12"/>
  <c r="T46" i="12"/>
  <c r="S46" i="12"/>
  <c r="T45" i="12"/>
  <c r="S45" i="12"/>
  <c r="T44" i="12"/>
  <c r="S44" i="12"/>
  <c r="T43" i="12"/>
  <c r="S43" i="12"/>
  <c r="T42" i="12"/>
  <c r="S42" i="12"/>
  <c r="T41" i="12"/>
  <c r="S41" i="12"/>
  <c r="T40" i="12"/>
  <c r="S40" i="12"/>
  <c r="T39" i="12"/>
  <c r="S39" i="12"/>
  <c r="T38" i="12"/>
  <c r="S38" i="12"/>
  <c r="T37" i="12"/>
  <c r="S37" i="12"/>
  <c r="T36" i="12"/>
  <c r="S36" i="12"/>
  <c r="T35" i="12"/>
  <c r="S35" i="12"/>
  <c r="T34" i="12"/>
  <c r="S34" i="12"/>
  <c r="T33" i="12"/>
  <c r="S33" i="12"/>
  <c r="T32" i="12"/>
  <c r="S32" i="12"/>
  <c r="T31" i="12"/>
  <c r="S31" i="12"/>
  <c r="T30" i="12"/>
  <c r="S30" i="12"/>
  <c r="T29" i="12"/>
  <c r="S29" i="12"/>
  <c r="T28" i="12"/>
  <c r="S28" i="12"/>
  <c r="T27" i="12"/>
  <c r="S27" i="12"/>
  <c r="T26" i="12"/>
  <c r="S26" i="12"/>
  <c r="T25" i="12"/>
  <c r="S25" i="12"/>
  <c r="T24" i="12"/>
  <c r="S24" i="12"/>
  <c r="T23" i="12"/>
  <c r="S23" i="12"/>
  <c r="T22" i="12"/>
  <c r="S22" i="12"/>
  <c r="T21" i="12"/>
  <c r="S21" i="12"/>
  <c r="T20" i="12"/>
  <c r="S20" i="12"/>
  <c r="T19" i="12"/>
  <c r="S19" i="12"/>
  <c r="T18" i="12"/>
  <c r="S18" i="12"/>
  <c r="T17" i="12"/>
  <c r="S17" i="12"/>
  <c r="T16" i="12"/>
  <c r="S16" i="12"/>
  <c r="T15" i="12"/>
  <c r="S15" i="12"/>
  <c r="T14" i="12"/>
  <c r="S14" i="12"/>
  <c r="T13" i="12"/>
  <c r="S13" i="12"/>
  <c r="T12" i="12"/>
  <c r="S12" i="12"/>
  <c r="T11" i="12"/>
  <c r="S11" i="12"/>
  <c r="T10" i="12"/>
  <c r="S10" i="12"/>
  <c r="T9" i="12"/>
  <c r="S9" i="12"/>
  <c r="T8" i="12"/>
  <c r="S8" i="12"/>
  <c r="T7" i="12"/>
  <c r="S7" i="12"/>
  <c r="W10" i="12" s="1"/>
  <c r="X4" i="12"/>
  <c r="W4" i="12"/>
  <c r="W7" i="12" s="1"/>
  <c r="T252" i="13"/>
  <c r="S252" i="13"/>
  <c r="T251" i="13"/>
  <c r="S251" i="13"/>
  <c r="T250" i="13"/>
  <c r="S250" i="13"/>
  <c r="T249" i="13"/>
  <c r="S249" i="13"/>
  <c r="T248" i="13"/>
  <c r="S248" i="13"/>
  <c r="T247" i="13"/>
  <c r="S247" i="13"/>
  <c r="T246" i="13"/>
  <c r="S246" i="13"/>
  <c r="T245" i="13"/>
  <c r="S245" i="13"/>
  <c r="T244" i="13"/>
  <c r="S244" i="13"/>
  <c r="T243" i="13"/>
  <c r="S243" i="13"/>
  <c r="T242" i="13"/>
  <c r="S242" i="13"/>
  <c r="T241" i="13"/>
  <c r="S241" i="13"/>
  <c r="T240" i="13"/>
  <c r="S240" i="13"/>
  <c r="T239" i="13"/>
  <c r="S239" i="13"/>
  <c r="T238" i="13"/>
  <c r="S238" i="13"/>
  <c r="T237" i="13"/>
  <c r="S237" i="13"/>
  <c r="T236" i="13"/>
  <c r="S236" i="13"/>
  <c r="T235" i="13"/>
  <c r="S235" i="13"/>
  <c r="T234" i="13"/>
  <c r="S234" i="13"/>
  <c r="T233" i="13"/>
  <c r="S233" i="13"/>
  <c r="T232" i="13"/>
  <c r="S232" i="13"/>
  <c r="T231" i="13"/>
  <c r="S231" i="13"/>
  <c r="T230" i="13"/>
  <c r="S230" i="13"/>
  <c r="T229" i="13"/>
  <c r="S229" i="13"/>
  <c r="T228" i="13"/>
  <c r="S228" i="13"/>
  <c r="T227" i="13"/>
  <c r="S227" i="13"/>
  <c r="T226" i="13"/>
  <c r="S226" i="13"/>
  <c r="T225" i="13"/>
  <c r="S225" i="13"/>
  <c r="T224" i="13"/>
  <c r="S224" i="13"/>
  <c r="T223" i="13"/>
  <c r="S223" i="13"/>
  <c r="T222" i="13"/>
  <c r="S222" i="13"/>
  <c r="T221" i="13"/>
  <c r="S221" i="13"/>
  <c r="T220" i="13"/>
  <c r="S220" i="13"/>
  <c r="T219" i="13"/>
  <c r="S219" i="13"/>
  <c r="T218" i="13"/>
  <c r="S218" i="13"/>
  <c r="T217" i="13"/>
  <c r="S217" i="13"/>
  <c r="T216" i="13"/>
  <c r="S216" i="13"/>
  <c r="T215" i="13"/>
  <c r="S215" i="13"/>
  <c r="T214" i="13"/>
  <c r="S214" i="13"/>
  <c r="T213" i="13"/>
  <c r="S213" i="13"/>
  <c r="T212" i="13"/>
  <c r="S212" i="13"/>
  <c r="T211" i="13"/>
  <c r="S211" i="13"/>
  <c r="T210" i="13"/>
  <c r="S210" i="13"/>
  <c r="T209" i="13"/>
  <c r="S209" i="13"/>
  <c r="T208" i="13"/>
  <c r="S208" i="13"/>
  <c r="T207" i="13"/>
  <c r="S207" i="13"/>
  <c r="T206" i="13"/>
  <c r="S206" i="13"/>
  <c r="T205" i="13"/>
  <c r="S205" i="13"/>
  <c r="T204" i="13"/>
  <c r="S204" i="13"/>
  <c r="T203" i="13"/>
  <c r="S203" i="13"/>
  <c r="T202" i="13"/>
  <c r="S202" i="13"/>
  <c r="T201" i="13"/>
  <c r="S201" i="13"/>
  <c r="T200" i="13"/>
  <c r="S200" i="13"/>
  <c r="T199" i="13"/>
  <c r="S199" i="13"/>
  <c r="T198" i="13"/>
  <c r="S198" i="13"/>
  <c r="T197" i="13"/>
  <c r="S197" i="13"/>
  <c r="T196" i="13"/>
  <c r="S196" i="13"/>
  <c r="T195" i="13"/>
  <c r="S195" i="13"/>
  <c r="T194" i="13"/>
  <c r="S194" i="13"/>
  <c r="T193" i="13"/>
  <c r="S193" i="13"/>
  <c r="T192" i="13"/>
  <c r="S192" i="13"/>
  <c r="T191" i="13"/>
  <c r="S191" i="13"/>
  <c r="T190" i="13"/>
  <c r="S190" i="13"/>
  <c r="T189" i="13"/>
  <c r="S189" i="13"/>
  <c r="T188" i="13"/>
  <c r="S188" i="13"/>
  <c r="T187" i="13"/>
  <c r="S187" i="13"/>
  <c r="T186" i="13"/>
  <c r="S186" i="13"/>
  <c r="T185" i="13"/>
  <c r="S185" i="13"/>
  <c r="T184" i="13"/>
  <c r="S184" i="13"/>
  <c r="T183" i="13"/>
  <c r="S183" i="13"/>
  <c r="T182" i="13"/>
  <c r="S182" i="13"/>
  <c r="T181" i="13"/>
  <c r="S181" i="13"/>
  <c r="T180" i="13"/>
  <c r="S180" i="13"/>
  <c r="T179" i="13"/>
  <c r="S179" i="13"/>
  <c r="T178" i="13"/>
  <c r="S178" i="13"/>
  <c r="T177" i="13"/>
  <c r="S177" i="13"/>
  <c r="T176" i="13"/>
  <c r="S176" i="13"/>
  <c r="T175" i="13"/>
  <c r="S175" i="13"/>
  <c r="T174" i="13"/>
  <c r="S174" i="13"/>
  <c r="T173" i="13"/>
  <c r="S173" i="13"/>
  <c r="T172" i="13"/>
  <c r="S172" i="13"/>
  <c r="T171" i="13"/>
  <c r="S171" i="13"/>
  <c r="T170" i="13"/>
  <c r="S170" i="13"/>
  <c r="T169" i="13"/>
  <c r="S169" i="13"/>
  <c r="T168" i="13"/>
  <c r="S168" i="13"/>
  <c r="T167" i="13"/>
  <c r="S167" i="13"/>
  <c r="T166" i="13"/>
  <c r="S166" i="13"/>
  <c r="T165" i="13"/>
  <c r="S165" i="13"/>
  <c r="T164" i="13"/>
  <c r="S164" i="13"/>
  <c r="T163" i="13"/>
  <c r="S163" i="13"/>
  <c r="T162" i="13"/>
  <c r="S162" i="13"/>
  <c r="T161" i="13"/>
  <c r="S161" i="13"/>
  <c r="T160" i="13"/>
  <c r="S160" i="13"/>
  <c r="T159" i="13"/>
  <c r="S159" i="13"/>
  <c r="T158" i="13"/>
  <c r="S158" i="13"/>
  <c r="T157" i="13"/>
  <c r="S157" i="13"/>
  <c r="T156" i="13"/>
  <c r="S156" i="13"/>
  <c r="T155" i="13"/>
  <c r="S155" i="13"/>
  <c r="T154" i="13"/>
  <c r="S154" i="13"/>
  <c r="T153" i="13"/>
  <c r="S153" i="13"/>
  <c r="T152" i="13"/>
  <c r="S152" i="13"/>
  <c r="T151" i="13"/>
  <c r="S151" i="13"/>
  <c r="T150" i="13"/>
  <c r="S150" i="13"/>
  <c r="T149" i="13"/>
  <c r="S149" i="13"/>
  <c r="T148" i="13"/>
  <c r="S148" i="13"/>
  <c r="T147" i="13"/>
  <c r="S147" i="13"/>
  <c r="T146" i="13"/>
  <c r="S146" i="13"/>
  <c r="T145" i="13"/>
  <c r="S145" i="13"/>
  <c r="T144" i="13"/>
  <c r="S144" i="13"/>
  <c r="T143" i="13"/>
  <c r="S143" i="13"/>
  <c r="T142" i="13"/>
  <c r="S142" i="13"/>
  <c r="T141" i="13"/>
  <c r="S141" i="13"/>
  <c r="T140" i="13"/>
  <c r="S140" i="13"/>
  <c r="T139" i="13"/>
  <c r="S139" i="13"/>
  <c r="T138" i="13"/>
  <c r="S138" i="13"/>
  <c r="T137" i="13"/>
  <c r="S137" i="13"/>
  <c r="T136" i="13"/>
  <c r="S136" i="13"/>
  <c r="T135" i="13"/>
  <c r="S135" i="13"/>
  <c r="T134" i="13"/>
  <c r="S134" i="13"/>
  <c r="T133" i="13"/>
  <c r="S133" i="13"/>
  <c r="T132" i="13"/>
  <c r="S132" i="13"/>
  <c r="T131" i="13"/>
  <c r="S131" i="13"/>
  <c r="T130" i="13"/>
  <c r="S130" i="13"/>
  <c r="T129" i="13"/>
  <c r="S129" i="13"/>
  <c r="T128" i="13"/>
  <c r="S128" i="13"/>
  <c r="T127" i="13"/>
  <c r="S127" i="13"/>
  <c r="T126" i="13"/>
  <c r="S126" i="13"/>
  <c r="T125" i="13"/>
  <c r="S125" i="13"/>
  <c r="T124" i="13"/>
  <c r="S124" i="13"/>
  <c r="T123" i="13"/>
  <c r="S123" i="13"/>
  <c r="T122" i="13"/>
  <c r="S122" i="13"/>
  <c r="T121" i="13"/>
  <c r="S121" i="13"/>
  <c r="T120" i="13"/>
  <c r="S120" i="13"/>
  <c r="T119" i="13"/>
  <c r="S119" i="13"/>
  <c r="T118" i="13"/>
  <c r="S118" i="13"/>
  <c r="T117" i="13"/>
  <c r="S117" i="13"/>
  <c r="T116" i="13"/>
  <c r="S116" i="13"/>
  <c r="T115" i="13"/>
  <c r="S115" i="13"/>
  <c r="T114" i="13"/>
  <c r="S114" i="13"/>
  <c r="T113" i="13"/>
  <c r="S113" i="13"/>
  <c r="T112" i="13"/>
  <c r="S112" i="13"/>
  <c r="T111" i="13"/>
  <c r="S111" i="13"/>
  <c r="T110" i="13"/>
  <c r="S110" i="13"/>
  <c r="T109" i="13"/>
  <c r="S109" i="13"/>
  <c r="T108" i="13"/>
  <c r="S108" i="13"/>
  <c r="T107" i="13"/>
  <c r="S107" i="13"/>
  <c r="T106" i="13"/>
  <c r="S106" i="13"/>
  <c r="T105" i="13"/>
  <c r="S105" i="13"/>
  <c r="T104" i="13"/>
  <c r="S104" i="13"/>
  <c r="T103" i="13"/>
  <c r="S103" i="13"/>
  <c r="T102" i="13"/>
  <c r="S102" i="13"/>
  <c r="T101" i="13"/>
  <c r="S101" i="13"/>
  <c r="T100" i="13"/>
  <c r="S100" i="13"/>
  <c r="T99" i="13"/>
  <c r="S99" i="13"/>
  <c r="T98" i="13"/>
  <c r="S98" i="13"/>
  <c r="T97" i="13"/>
  <c r="S97" i="13"/>
  <c r="T96" i="13"/>
  <c r="S96" i="13"/>
  <c r="T95" i="13"/>
  <c r="S95" i="13"/>
  <c r="T94" i="13"/>
  <c r="S94" i="13"/>
  <c r="T93" i="13"/>
  <c r="S93" i="13"/>
  <c r="T92" i="13"/>
  <c r="S92" i="13"/>
  <c r="T91" i="13"/>
  <c r="S91" i="13"/>
  <c r="T90" i="13"/>
  <c r="S90" i="13"/>
  <c r="T89" i="13"/>
  <c r="S89" i="13"/>
  <c r="T88" i="13"/>
  <c r="S88" i="13"/>
  <c r="T87" i="13"/>
  <c r="S87" i="13"/>
  <c r="T86" i="13"/>
  <c r="S86" i="13"/>
  <c r="T85" i="13"/>
  <c r="S85" i="13"/>
  <c r="T84" i="13"/>
  <c r="S84" i="13"/>
  <c r="T83" i="13"/>
  <c r="S83" i="13"/>
  <c r="T82" i="13"/>
  <c r="S82" i="13"/>
  <c r="T81" i="13"/>
  <c r="S81" i="13"/>
  <c r="T80" i="13"/>
  <c r="S80" i="13"/>
  <c r="T79" i="13"/>
  <c r="S79" i="13"/>
  <c r="T78" i="13"/>
  <c r="S78" i="13"/>
  <c r="T77" i="13"/>
  <c r="S77" i="13"/>
  <c r="T76" i="13"/>
  <c r="S76" i="13"/>
  <c r="T75" i="13"/>
  <c r="S75" i="13"/>
  <c r="T74" i="13"/>
  <c r="S74" i="13"/>
  <c r="T73" i="13"/>
  <c r="S73" i="13"/>
  <c r="T72" i="13"/>
  <c r="S72" i="13"/>
  <c r="T71" i="13"/>
  <c r="S71" i="13"/>
  <c r="T70" i="13"/>
  <c r="S70" i="13"/>
  <c r="T69" i="13"/>
  <c r="S69" i="13"/>
  <c r="T68" i="13"/>
  <c r="S68" i="13"/>
  <c r="T67" i="13"/>
  <c r="S67" i="13"/>
  <c r="T66" i="13"/>
  <c r="S66" i="13"/>
  <c r="T65" i="13"/>
  <c r="S65" i="13"/>
  <c r="T64" i="13"/>
  <c r="S64" i="13"/>
  <c r="T63" i="13"/>
  <c r="S63" i="13"/>
  <c r="T62" i="13"/>
  <c r="S62" i="13"/>
  <c r="T61" i="13"/>
  <c r="S61" i="13"/>
  <c r="T60" i="13"/>
  <c r="S60" i="13"/>
  <c r="T59" i="13"/>
  <c r="S59" i="13"/>
  <c r="T58" i="13"/>
  <c r="S58" i="13"/>
  <c r="T57" i="13"/>
  <c r="S57" i="13"/>
  <c r="T56" i="13"/>
  <c r="S56" i="13"/>
  <c r="T55" i="13"/>
  <c r="S55" i="13"/>
  <c r="T54" i="13"/>
  <c r="S54" i="13"/>
  <c r="T53" i="13"/>
  <c r="S53" i="13"/>
  <c r="T52" i="13"/>
  <c r="S52" i="13"/>
  <c r="T51" i="13"/>
  <c r="S51" i="13"/>
  <c r="T50" i="13"/>
  <c r="S50" i="13"/>
  <c r="T49" i="13"/>
  <c r="S49" i="13"/>
  <c r="T48" i="13"/>
  <c r="S48" i="13"/>
  <c r="T47" i="13"/>
  <c r="S47" i="13"/>
  <c r="T46" i="13"/>
  <c r="S46" i="13"/>
  <c r="T45" i="13"/>
  <c r="S45" i="13"/>
  <c r="T44" i="13"/>
  <c r="S44" i="13"/>
  <c r="T43" i="13"/>
  <c r="S43" i="13"/>
  <c r="T42" i="13"/>
  <c r="S42" i="13"/>
  <c r="T41" i="13"/>
  <c r="S41" i="13"/>
  <c r="T40" i="13"/>
  <c r="S40" i="13"/>
  <c r="T39" i="13"/>
  <c r="S39" i="13"/>
  <c r="T38" i="13"/>
  <c r="S38" i="13"/>
  <c r="T37" i="13"/>
  <c r="S37" i="13"/>
  <c r="T36" i="13"/>
  <c r="S36" i="13"/>
  <c r="T35" i="13"/>
  <c r="S35" i="13"/>
  <c r="T34" i="13"/>
  <c r="S34" i="13"/>
  <c r="T33" i="13"/>
  <c r="S33" i="13"/>
  <c r="T32" i="13"/>
  <c r="S32" i="13"/>
  <c r="T31" i="13"/>
  <c r="S31" i="13"/>
  <c r="T30" i="13"/>
  <c r="S30" i="13"/>
  <c r="T29" i="13"/>
  <c r="S29" i="13"/>
  <c r="T28" i="13"/>
  <c r="S28" i="13"/>
  <c r="T27" i="13"/>
  <c r="S27" i="13"/>
  <c r="T26" i="13"/>
  <c r="S26" i="13"/>
  <c r="T25" i="13"/>
  <c r="S25" i="13"/>
  <c r="T24" i="13"/>
  <c r="S24" i="13"/>
  <c r="T23" i="13"/>
  <c r="S23" i="13"/>
  <c r="T22" i="13"/>
  <c r="S22" i="13"/>
  <c r="T21" i="13"/>
  <c r="S21" i="13"/>
  <c r="T20" i="13"/>
  <c r="S20" i="13"/>
  <c r="T19" i="13"/>
  <c r="S19" i="13"/>
  <c r="T18" i="13"/>
  <c r="S18" i="13"/>
  <c r="T17" i="13"/>
  <c r="S17" i="13"/>
  <c r="T16" i="13"/>
  <c r="S16" i="13"/>
  <c r="T15" i="13"/>
  <c r="S15" i="13"/>
  <c r="T14" i="13"/>
  <c r="S14" i="13"/>
  <c r="T13" i="13"/>
  <c r="S13" i="13"/>
  <c r="T12" i="13"/>
  <c r="S12" i="13"/>
  <c r="T11" i="13"/>
  <c r="S11" i="13"/>
  <c r="T10" i="13"/>
  <c r="S10" i="13"/>
  <c r="T9" i="13"/>
  <c r="S9" i="13"/>
  <c r="T8" i="13"/>
  <c r="S8" i="13"/>
  <c r="T7" i="13"/>
  <c r="S7" i="13"/>
  <c r="W10" i="13" s="1"/>
  <c r="X4" i="13"/>
  <c r="W4" i="13"/>
  <c r="W7" i="13" s="1"/>
  <c r="H4" i="1"/>
  <c r="K32" i="13"/>
  <c r="K32" i="12"/>
  <c r="K32" i="11"/>
  <c r="K32" i="9"/>
  <c r="K32" i="10"/>
  <c r="K32" i="8"/>
  <c r="K33" i="13"/>
  <c r="K31" i="13"/>
  <c r="H4" i="5"/>
  <c r="I4" i="5"/>
  <c r="I4" i="4"/>
  <c r="I4" i="3"/>
  <c r="H4" i="3"/>
  <c r="H4" i="4"/>
  <c r="I4" i="1"/>
  <c r="I4" i="6"/>
  <c r="H4" i="6"/>
  <c r="E7" i="6"/>
  <c r="K33" i="12"/>
  <c r="K33" i="11"/>
  <c r="K17" i="8"/>
  <c r="K33" i="10"/>
  <c r="K33" i="9"/>
  <c r="K29" i="13"/>
  <c r="K28" i="13"/>
  <c r="K26" i="13"/>
  <c r="K25" i="13"/>
  <c r="K27" i="13" s="1"/>
  <c r="K19" i="13"/>
  <c r="K18" i="13"/>
  <c r="K17" i="13"/>
  <c r="K15" i="13"/>
  <c r="C8" i="14" s="1"/>
  <c r="K14" i="13"/>
  <c r="B8" i="14" s="1"/>
  <c r="K13" i="13"/>
  <c r="K31" i="9"/>
  <c r="K29" i="12"/>
  <c r="K28" i="12"/>
  <c r="K26" i="12"/>
  <c r="K25" i="12"/>
  <c r="K27" i="12" s="1"/>
  <c r="K19" i="12"/>
  <c r="K15" i="12"/>
  <c r="C7" i="14" s="1"/>
  <c r="K14" i="12"/>
  <c r="B7" i="14" s="1"/>
  <c r="K13" i="12"/>
  <c r="K29" i="11"/>
  <c r="K28" i="11"/>
  <c r="K26" i="11"/>
  <c r="K25" i="11"/>
  <c r="K27" i="11" s="1"/>
  <c r="K19" i="11"/>
  <c r="K17" i="11"/>
  <c r="K15" i="11"/>
  <c r="C6" i="14" s="1"/>
  <c r="K14" i="11"/>
  <c r="B6" i="14" s="1"/>
  <c r="K13" i="11"/>
  <c r="K29" i="10"/>
  <c r="K28" i="10"/>
  <c r="K26" i="10"/>
  <c r="K25" i="10"/>
  <c r="K27" i="10" s="1"/>
  <c r="K19" i="10"/>
  <c r="K17" i="10"/>
  <c r="K15" i="10"/>
  <c r="C5" i="14" s="1"/>
  <c r="K14" i="10"/>
  <c r="B5" i="14" s="1"/>
  <c r="K13" i="10"/>
  <c r="K29" i="9"/>
  <c r="K28" i="9"/>
  <c r="K26" i="9"/>
  <c r="K25" i="9"/>
  <c r="K27" i="9" s="1"/>
  <c r="K19" i="9"/>
  <c r="K18" i="9"/>
  <c r="K17" i="9"/>
  <c r="K15" i="9"/>
  <c r="C4" i="14" s="1"/>
  <c r="K14" i="9"/>
  <c r="B4" i="14" s="1"/>
  <c r="K13" i="9"/>
  <c r="K33" i="8"/>
  <c r="K19" i="8"/>
  <c r="K29" i="8"/>
  <c r="K13" i="8"/>
  <c r="K28" i="8"/>
  <c r="K15" i="8" s="1"/>
  <c r="C3" i="14" s="1"/>
  <c r="K25" i="8"/>
  <c r="K26" i="8"/>
  <c r="I4" i="2"/>
  <c r="H4" i="2"/>
  <c r="D7" i="3"/>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D53" i="6"/>
  <c r="E53" i="6"/>
  <c r="D54" i="6"/>
  <c r="E54" i="6"/>
  <c r="D55" i="6"/>
  <c r="E55" i="6"/>
  <c r="D56" i="6"/>
  <c r="E56" i="6"/>
  <c r="D57" i="6"/>
  <c r="E57" i="6"/>
  <c r="D58" i="6"/>
  <c r="E58" i="6"/>
  <c r="D59" i="6"/>
  <c r="E59" i="6"/>
  <c r="D60" i="6"/>
  <c r="E60" i="6"/>
  <c r="D61" i="6"/>
  <c r="E61" i="6"/>
  <c r="D62" i="6"/>
  <c r="E62" i="6"/>
  <c r="D63" i="6"/>
  <c r="E63" i="6"/>
  <c r="D64" i="6"/>
  <c r="E64" i="6"/>
  <c r="D65" i="6"/>
  <c r="E65" i="6"/>
  <c r="D66" i="6"/>
  <c r="E66" i="6"/>
  <c r="D67" i="6"/>
  <c r="E67" i="6"/>
  <c r="D68" i="6"/>
  <c r="E68" i="6"/>
  <c r="D69" i="6"/>
  <c r="E69" i="6"/>
  <c r="D70" i="6"/>
  <c r="E70" i="6"/>
  <c r="D71" i="6"/>
  <c r="E71" i="6"/>
  <c r="D72" i="6"/>
  <c r="E72" i="6"/>
  <c r="D73" i="6"/>
  <c r="E73" i="6"/>
  <c r="D74" i="6"/>
  <c r="E74" i="6"/>
  <c r="D75" i="6"/>
  <c r="E75" i="6"/>
  <c r="D76" i="6"/>
  <c r="E76" i="6"/>
  <c r="D77" i="6"/>
  <c r="E77" i="6"/>
  <c r="D78" i="6"/>
  <c r="E78" i="6"/>
  <c r="D79" i="6"/>
  <c r="E79" i="6"/>
  <c r="D80" i="6"/>
  <c r="E80" i="6"/>
  <c r="D81" i="6"/>
  <c r="E81" i="6"/>
  <c r="D82" i="6"/>
  <c r="E82" i="6"/>
  <c r="D83" i="6"/>
  <c r="E83" i="6"/>
  <c r="D84" i="6"/>
  <c r="E84" i="6"/>
  <c r="D85" i="6"/>
  <c r="E85" i="6"/>
  <c r="D86" i="6"/>
  <c r="E86" i="6"/>
  <c r="D87" i="6"/>
  <c r="E87" i="6"/>
  <c r="D88" i="6"/>
  <c r="E88" i="6"/>
  <c r="D89" i="6"/>
  <c r="E89" i="6"/>
  <c r="D90" i="6"/>
  <c r="E90" i="6"/>
  <c r="D91" i="6"/>
  <c r="E91" i="6"/>
  <c r="D92" i="6"/>
  <c r="E92" i="6"/>
  <c r="D93" i="6"/>
  <c r="E93" i="6"/>
  <c r="D94" i="6"/>
  <c r="E94" i="6"/>
  <c r="D95" i="6"/>
  <c r="E95" i="6"/>
  <c r="D96" i="6"/>
  <c r="E96" i="6"/>
  <c r="D97" i="6"/>
  <c r="E97" i="6"/>
  <c r="D98" i="6"/>
  <c r="E98" i="6"/>
  <c r="D99" i="6"/>
  <c r="E99" i="6"/>
  <c r="D100" i="6"/>
  <c r="E100" i="6"/>
  <c r="D101" i="6"/>
  <c r="E101" i="6"/>
  <c r="D102" i="6"/>
  <c r="E102" i="6"/>
  <c r="D103" i="6"/>
  <c r="E103" i="6"/>
  <c r="D104" i="6"/>
  <c r="E104" i="6"/>
  <c r="D105" i="6"/>
  <c r="E105" i="6"/>
  <c r="D106" i="6"/>
  <c r="E106" i="6"/>
  <c r="D107" i="6"/>
  <c r="E107" i="6"/>
  <c r="D108" i="6"/>
  <c r="E108" i="6"/>
  <c r="D109" i="6"/>
  <c r="E109" i="6"/>
  <c r="D110" i="6"/>
  <c r="E110" i="6"/>
  <c r="D111" i="6"/>
  <c r="E111" i="6"/>
  <c r="D112" i="6"/>
  <c r="E112" i="6"/>
  <c r="D113" i="6"/>
  <c r="E113" i="6"/>
  <c r="D114" i="6"/>
  <c r="E114" i="6"/>
  <c r="D115" i="6"/>
  <c r="E115" i="6"/>
  <c r="D116" i="6"/>
  <c r="E116" i="6"/>
  <c r="D117" i="6"/>
  <c r="E117" i="6"/>
  <c r="D118" i="6"/>
  <c r="E118" i="6"/>
  <c r="D119" i="6"/>
  <c r="E119" i="6"/>
  <c r="D120" i="6"/>
  <c r="E120" i="6"/>
  <c r="D121" i="6"/>
  <c r="E121" i="6"/>
  <c r="D122" i="6"/>
  <c r="E122" i="6"/>
  <c r="D123" i="6"/>
  <c r="E123" i="6"/>
  <c r="D124" i="6"/>
  <c r="E124" i="6"/>
  <c r="D125" i="6"/>
  <c r="E125" i="6"/>
  <c r="D126" i="6"/>
  <c r="E126" i="6"/>
  <c r="D127" i="6"/>
  <c r="E127" i="6"/>
  <c r="D128" i="6"/>
  <c r="E128" i="6"/>
  <c r="D129" i="6"/>
  <c r="E129" i="6"/>
  <c r="D130" i="6"/>
  <c r="E130" i="6"/>
  <c r="D131" i="6"/>
  <c r="E131" i="6"/>
  <c r="D132" i="6"/>
  <c r="E132" i="6"/>
  <c r="D133" i="6"/>
  <c r="E133" i="6"/>
  <c r="D134" i="6"/>
  <c r="E134" i="6"/>
  <c r="D135" i="6"/>
  <c r="E135" i="6"/>
  <c r="D136" i="6"/>
  <c r="E136" i="6"/>
  <c r="D137" i="6"/>
  <c r="E137" i="6"/>
  <c r="D138" i="6"/>
  <c r="E138" i="6"/>
  <c r="D139" i="6"/>
  <c r="E139" i="6"/>
  <c r="D140" i="6"/>
  <c r="E140" i="6"/>
  <c r="D141" i="6"/>
  <c r="E141" i="6"/>
  <c r="D142" i="6"/>
  <c r="E142" i="6"/>
  <c r="D143" i="6"/>
  <c r="E143" i="6"/>
  <c r="D144" i="6"/>
  <c r="E144" i="6"/>
  <c r="D145" i="6"/>
  <c r="E145" i="6"/>
  <c r="D146" i="6"/>
  <c r="E146" i="6"/>
  <c r="D147" i="6"/>
  <c r="E147" i="6"/>
  <c r="D148" i="6"/>
  <c r="E148" i="6"/>
  <c r="D149" i="6"/>
  <c r="E149" i="6"/>
  <c r="D150" i="6"/>
  <c r="E150" i="6"/>
  <c r="D151" i="6"/>
  <c r="E151" i="6"/>
  <c r="D152" i="6"/>
  <c r="E152" i="6"/>
  <c r="D153" i="6"/>
  <c r="E153" i="6"/>
  <c r="D154" i="6"/>
  <c r="E154" i="6"/>
  <c r="D155" i="6"/>
  <c r="E155" i="6"/>
  <c r="D156" i="6"/>
  <c r="E156" i="6"/>
  <c r="D157" i="6"/>
  <c r="E157" i="6"/>
  <c r="D158" i="6"/>
  <c r="E158" i="6"/>
  <c r="D159" i="6"/>
  <c r="E159" i="6"/>
  <c r="D160" i="6"/>
  <c r="E160" i="6"/>
  <c r="D161" i="6"/>
  <c r="E161" i="6"/>
  <c r="D162" i="6"/>
  <c r="E162" i="6"/>
  <c r="D163" i="6"/>
  <c r="E163" i="6"/>
  <c r="D164" i="6"/>
  <c r="E164" i="6"/>
  <c r="D165" i="6"/>
  <c r="E165" i="6"/>
  <c r="D166" i="6"/>
  <c r="E166" i="6"/>
  <c r="D167" i="6"/>
  <c r="E167" i="6"/>
  <c r="D168" i="6"/>
  <c r="E168" i="6"/>
  <c r="D169" i="6"/>
  <c r="E169" i="6"/>
  <c r="D170" i="6"/>
  <c r="E170" i="6"/>
  <c r="D171" i="6"/>
  <c r="E171" i="6"/>
  <c r="D172" i="6"/>
  <c r="E172" i="6"/>
  <c r="D173" i="6"/>
  <c r="E173" i="6"/>
  <c r="D174" i="6"/>
  <c r="E174" i="6"/>
  <c r="D175" i="6"/>
  <c r="E175" i="6"/>
  <c r="D176" i="6"/>
  <c r="E176" i="6"/>
  <c r="D177" i="6"/>
  <c r="E177" i="6"/>
  <c r="D178" i="6"/>
  <c r="E178" i="6"/>
  <c r="D179" i="6"/>
  <c r="E179" i="6"/>
  <c r="D180" i="6"/>
  <c r="E180" i="6"/>
  <c r="D181" i="6"/>
  <c r="E181" i="6"/>
  <c r="D182" i="6"/>
  <c r="E182" i="6"/>
  <c r="D183" i="6"/>
  <c r="E183" i="6"/>
  <c r="D184" i="6"/>
  <c r="E184" i="6"/>
  <c r="D185" i="6"/>
  <c r="E185" i="6"/>
  <c r="D186" i="6"/>
  <c r="E186" i="6"/>
  <c r="D187" i="6"/>
  <c r="E187" i="6"/>
  <c r="D188" i="6"/>
  <c r="E188" i="6"/>
  <c r="D189" i="6"/>
  <c r="E189" i="6"/>
  <c r="D190" i="6"/>
  <c r="E190" i="6"/>
  <c r="D191" i="6"/>
  <c r="E191" i="6"/>
  <c r="D192" i="6"/>
  <c r="E192" i="6"/>
  <c r="D193" i="6"/>
  <c r="E193" i="6"/>
  <c r="D194" i="6"/>
  <c r="E194" i="6"/>
  <c r="D195" i="6"/>
  <c r="E195" i="6"/>
  <c r="D196" i="6"/>
  <c r="E196" i="6"/>
  <c r="D197" i="6"/>
  <c r="E197" i="6"/>
  <c r="D198" i="6"/>
  <c r="E198" i="6"/>
  <c r="D199" i="6"/>
  <c r="E199" i="6"/>
  <c r="D200" i="6"/>
  <c r="E200" i="6"/>
  <c r="D201" i="6"/>
  <c r="E201" i="6"/>
  <c r="D202" i="6"/>
  <c r="E202" i="6"/>
  <c r="D203" i="6"/>
  <c r="E203" i="6"/>
  <c r="D204" i="6"/>
  <c r="E204" i="6"/>
  <c r="D205" i="6"/>
  <c r="E205" i="6"/>
  <c r="D206" i="6"/>
  <c r="E206" i="6"/>
  <c r="D207" i="6"/>
  <c r="E207" i="6"/>
  <c r="D208" i="6"/>
  <c r="E208" i="6"/>
  <c r="D209" i="6"/>
  <c r="E209" i="6"/>
  <c r="D210" i="6"/>
  <c r="E210" i="6"/>
  <c r="D211" i="6"/>
  <c r="E211" i="6"/>
  <c r="D212" i="6"/>
  <c r="E212" i="6"/>
  <c r="D213" i="6"/>
  <c r="E213" i="6"/>
  <c r="D214" i="6"/>
  <c r="E214" i="6"/>
  <c r="D215" i="6"/>
  <c r="E215" i="6"/>
  <c r="D216" i="6"/>
  <c r="E216" i="6"/>
  <c r="D217" i="6"/>
  <c r="E217" i="6"/>
  <c r="D218" i="6"/>
  <c r="E218" i="6"/>
  <c r="D219" i="6"/>
  <c r="E219" i="6"/>
  <c r="D220" i="6"/>
  <c r="E220" i="6"/>
  <c r="D221" i="6"/>
  <c r="E221" i="6"/>
  <c r="D222" i="6"/>
  <c r="E222" i="6"/>
  <c r="D223" i="6"/>
  <c r="E223" i="6"/>
  <c r="D224" i="6"/>
  <c r="E224" i="6"/>
  <c r="D225" i="6"/>
  <c r="E225" i="6"/>
  <c r="D226" i="6"/>
  <c r="E226" i="6"/>
  <c r="D227" i="6"/>
  <c r="E227" i="6"/>
  <c r="D228" i="6"/>
  <c r="E228" i="6"/>
  <c r="D229" i="6"/>
  <c r="E229" i="6"/>
  <c r="D230" i="6"/>
  <c r="E230" i="6"/>
  <c r="D231" i="6"/>
  <c r="E231" i="6"/>
  <c r="D232" i="6"/>
  <c r="E232" i="6"/>
  <c r="D233" i="6"/>
  <c r="E233" i="6"/>
  <c r="D234" i="6"/>
  <c r="E234" i="6"/>
  <c r="D235" i="6"/>
  <c r="E235" i="6"/>
  <c r="D236" i="6"/>
  <c r="E236" i="6"/>
  <c r="D237" i="6"/>
  <c r="E237" i="6"/>
  <c r="D238" i="6"/>
  <c r="E238" i="6"/>
  <c r="D239" i="6"/>
  <c r="E239" i="6"/>
  <c r="D240" i="6"/>
  <c r="E240" i="6"/>
  <c r="D241" i="6"/>
  <c r="E241" i="6"/>
  <c r="D242" i="6"/>
  <c r="E242" i="6"/>
  <c r="D243" i="6"/>
  <c r="E243" i="6"/>
  <c r="D244" i="6"/>
  <c r="E244" i="6"/>
  <c r="D245" i="6"/>
  <c r="E245" i="6"/>
  <c r="D246" i="6"/>
  <c r="E246" i="6"/>
  <c r="D247" i="6"/>
  <c r="E247" i="6"/>
  <c r="D248" i="6"/>
  <c r="E248" i="6"/>
  <c r="D249" i="6"/>
  <c r="E249" i="6"/>
  <c r="D250" i="6"/>
  <c r="E250" i="6"/>
  <c r="D251" i="6"/>
  <c r="E251" i="6"/>
  <c r="D252" i="6"/>
  <c r="E252" i="6"/>
  <c r="D7" i="6"/>
  <c r="D8" i="2"/>
  <c r="E8" i="2"/>
  <c r="D9" i="2"/>
  <c r="E9" i="2"/>
  <c r="D10" i="2"/>
  <c r="E10" i="2"/>
  <c r="D11" i="2"/>
  <c r="E11" i="2"/>
  <c r="D12" i="2"/>
  <c r="E12" i="2"/>
  <c r="D13" i="2"/>
  <c r="E13" i="2"/>
  <c r="D14" i="2"/>
  <c r="E14" i="2"/>
  <c r="D15" i="2"/>
  <c r="E15" i="2"/>
  <c r="D16" i="2"/>
  <c r="E16" i="2"/>
  <c r="D17" i="2"/>
  <c r="E17" i="2"/>
  <c r="D18" i="2"/>
  <c r="E18" i="2"/>
  <c r="D19" i="2"/>
  <c r="E19" i="2"/>
  <c r="D20" i="2"/>
  <c r="E20" i="2"/>
  <c r="D21" i="2"/>
  <c r="E21" i="2"/>
  <c r="D22" i="2"/>
  <c r="E22" i="2"/>
  <c r="D23" i="2"/>
  <c r="E23" i="2"/>
  <c r="D24" i="2"/>
  <c r="E24" i="2"/>
  <c r="D25" i="2"/>
  <c r="E25" i="2"/>
  <c r="D26" i="2"/>
  <c r="E26" i="2"/>
  <c r="D27" i="2"/>
  <c r="E27" i="2"/>
  <c r="D28" i="2"/>
  <c r="E28" i="2"/>
  <c r="D29" i="2"/>
  <c r="E29" i="2"/>
  <c r="D30" i="2"/>
  <c r="E30" i="2"/>
  <c r="D31" i="2"/>
  <c r="E31" i="2"/>
  <c r="D32" i="2"/>
  <c r="E32" i="2"/>
  <c r="D33" i="2"/>
  <c r="E33" i="2"/>
  <c r="D34" i="2"/>
  <c r="E34" i="2"/>
  <c r="D35" i="2"/>
  <c r="E35" i="2"/>
  <c r="D36" i="2"/>
  <c r="E36" i="2"/>
  <c r="D37" i="2"/>
  <c r="E37" i="2"/>
  <c r="D38" i="2"/>
  <c r="E38" i="2"/>
  <c r="D39" i="2"/>
  <c r="E39" i="2"/>
  <c r="D40" i="2"/>
  <c r="E40" i="2"/>
  <c r="D41" i="2"/>
  <c r="E41" i="2"/>
  <c r="D42" i="2"/>
  <c r="E42" i="2"/>
  <c r="D43" i="2"/>
  <c r="E43" i="2"/>
  <c r="D44" i="2"/>
  <c r="E44" i="2"/>
  <c r="D45" i="2"/>
  <c r="E45" i="2"/>
  <c r="D46" i="2"/>
  <c r="E46" i="2"/>
  <c r="D47" i="2"/>
  <c r="E47" i="2"/>
  <c r="D48" i="2"/>
  <c r="E48" i="2"/>
  <c r="D49" i="2"/>
  <c r="E49" i="2"/>
  <c r="D50" i="2"/>
  <c r="E50" i="2"/>
  <c r="D51" i="2"/>
  <c r="E51" i="2"/>
  <c r="D52" i="2"/>
  <c r="E52" i="2"/>
  <c r="D53" i="2"/>
  <c r="E53" i="2"/>
  <c r="D54" i="2"/>
  <c r="E54" i="2"/>
  <c r="D55" i="2"/>
  <c r="E55" i="2"/>
  <c r="D56" i="2"/>
  <c r="E56" i="2"/>
  <c r="D57" i="2"/>
  <c r="E57" i="2"/>
  <c r="D58" i="2"/>
  <c r="E58" i="2"/>
  <c r="D59" i="2"/>
  <c r="E59" i="2"/>
  <c r="D60" i="2"/>
  <c r="E60" i="2"/>
  <c r="D61" i="2"/>
  <c r="E61" i="2"/>
  <c r="D62" i="2"/>
  <c r="E62" i="2"/>
  <c r="D63" i="2"/>
  <c r="E63" i="2"/>
  <c r="D64" i="2"/>
  <c r="E64" i="2"/>
  <c r="D65" i="2"/>
  <c r="E65" i="2"/>
  <c r="D66" i="2"/>
  <c r="E66" i="2"/>
  <c r="D67" i="2"/>
  <c r="E67" i="2"/>
  <c r="D68" i="2"/>
  <c r="E68" i="2"/>
  <c r="D69" i="2"/>
  <c r="E69" i="2"/>
  <c r="D70" i="2"/>
  <c r="E70" i="2"/>
  <c r="D71" i="2"/>
  <c r="E71" i="2"/>
  <c r="D72" i="2"/>
  <c r="E72" i="2"/>
  <c r="D73" i="2"/>
  <c r="E73" i="2"/>
  <c r="D74" i="2"/>
  <c r="E74" i="2"/>
  <c r="D75" i="2"/>
  <c r="E75" i="2"/>
  <c r="D76" i="2"/>
  <c r="E76" i="2"/>
  <c r="D77" i="2"/>
  <c r="E77" i="2"/>
  <c r="D78" i="2"/>
  <c r="E78" i="2"/>
  <c r="D79" i="2"/>
  <c r="E79" i="2"/>
  <c r="D80" i="2"/>
  <c r="E80" i="2"/>
  <c r="D81" i="2"/>
  <c r="E81" i="2"/>
  <c r="D82" i="2"/>
  <c r="E82" i="2"/>
  <c r="D83" i="2"/>
  <c r="E83" i="2"/>
  <c r="D84" i="2"/>
  <c r="E84" i="2"/>
  <c r="D85" i="2"/>
  <c r="E85" i="2"/>
  <c r="D86" i="2"/>
  <c r="E86" i="2"/>
  <c r="D87" i="2"/>
  <c r="E87" i="2"/>
  <c r="D88" i="2"/>
  <c r="E88" i="2"/>
  <c r="D89" i="2"/>
  <c r="E89" i="2"/>
  <c r="D90" i="2"/>
  <c r="E90" i="2"/>
  <c r="D91" i="2"/>
  <c r="E91" i="2"/>
  <c r="D92" i="2"/>
  <c r="E92" i="2"/>
  <c r="D93" i="2"/>
  <c r="E93" i="2"/>
  <c r="D94" i="2"/>
  <c r="E94" i="2"/>
  <c r="D95" i="2"/>
  <c r="E95" i="2"/>
  <c r="D96" i="2"/>
  <c r="E96" i="2"/>
  <c r="D97" i="2"/>
  <c r="E97" i="2"/>
  <c r="D98" i="2"/>
  <c r="E98" i="2"/>
  <c r="D99" i="2"/>
  <c r="E99" i="2"/>
  <c r="D100" i="2"/>
  <c r="E100" i="2"/>
  <c r="D101" i="2"/>
  <c r="E101" i="2"/>
  <c r="D102" i="2"/>
  <c r="E102" i="2"/>
  <c r="D103" i="2"/>
  <c r="E103" i="2"/>
  <c r="D104" i="2"/>
  <c r="E104" i="2"/>
  <c r="D105" i="2"/>
  <c r="E105" i="2"/>
  <c r="D106" i="2"/>
  <c r="E106" i="2"/>
  <c r="D107" i="2"/>
  <c r="E107" i="2"/>
  <c r="D108" i="2"/>
  <c r="E108" i="2"/>
  <c r="D109" i="2"/>
  <c r="E109" i="2"/>
  <c r="D110" i="2"/>
  <c r="E110" i="2"/>
  <c r="D111" i="2"/>
  <c r="E111" i="2"/>
  <c r="D112" i="2"/>
  <c r="E112" i="2"/>
  <c r="D113" i="2"/>
  <c r="E113" i="2"/>
  <c r="D114" i="2"/>
  <c r="E114" i="2"/>
  <c r="D115" i="2"/>
  <c r="E115" i="2"/>
  <c r="D116" i="2"/>
  <c r="E116" i="2"/>
  <c r="D117" i="2"/>
  <c r="E117" i="2"/>
  <c r="D118" i="2"/>
  <c r="E118" i="2"/>
  <c r="D119" i="2"/>
  <c r="E119" i="2"/>
  <c r="D120" i="2"/>
  <c r="E120" i="2"/>
  <c r="D121" i="2"/>
  <c r="E121" i="2"/>
  <c r="D122" i="2"/>
  <c r="E122" i="2"/>
  <c r="D123" i="2"/>
  <c r="E123" i="2"/>
  <c r="D124" i="2"/>
  <c r="E124" i="2"/>
  <c r="D125" i="2"/>
  <c r="E125" i="2"/>
  <c r="D126" i="2"/>
  <c r="E126" i="2"/>
  <c r="D127" i="2"/>
  <c r="E127" i="2"/>
  <c r="D128" i="2"/>
  <c r="E128" i="2"/>
  <c r="D129" i="2"/>
  <c r="E129" i="2"/>
  <c r="D130" i="2"/>
  <c r="E130" i="2"/>
  <c r="D131" i="2"/>
  <c r="E131" i="2"/>
  <c r="D132" i="2"/>
  <c r="E132" i="2"/>
  <c r="D133" i="2"/>
  <c r="E133" i="2"/>
  <c r="D134" i="2"/>
  <c r="E134" i="2"/>
  <c r="D135" i="2"/>
  <c r="E135" i="2"/>
  <c r="D136" i="2"/>
  <c r="E136" i="2"/>
  <c r="D137" i="2"/>
  <c r="E137" i="2"/>
  <c r="D138" i="2"/>
  <c r="E138" i="2"/>
  <c r="D139" i="2"/>
  <c r="E139" i="2"/>
  <c r="D140" i="2"/>
  <c r="E140" i="2"/>
  <c r="D141" i="2"/>
  <c r="E141" i="2"/>
  <c r="D142" i="2"/>
  <c r="E142" i="2"/>
  <c r="D143" i="2"/>
  <c r="E143" i="2"/>
  <c r="D144" i="2"/>
  <c r="E144" i="2"/>
  <c r="D145" i="2"/>
  <c r="E145" i="2"/>
  <c r="D146" i="2"/>
  <c r="E146" i="2"/>
  <c r="D147" i="2"/>
  <c r="E147" i="2"/>
  <c r="D148" i="2"/>
  <c r="E148" i="2"/>
  <c r="D149" i="2"/>
  <c r="E149" i="2"/>
  <c r="D150" i="2"/>
  <c r="E150" i="2"/>
  <c r="D151" i="2"/>
  <c r="E151" i="2"/>
  <c r="D152" i="2"/>
  <c r="E152" i="2"/>
  <c r="D153" i="2"/>
  <c r="E153" i="2"/>
  <c r="D154" i="2"/>
  <c r="E154" i="2"/>
  <c r="D155" i="2"/>
  <c r="E155" i="2"/>
  <c r="D156" i="2"/>
  <c r="E156" i="2"/>
  <c r="D157" i="2"/>
  <c r="E157" i="2"/>
  <c r="D158" i="2"/>
  <c r="E158" i="2"/>
  <c r="D159" i="2"/>
  <c r="E159" i="2"/>
  <c r="D160" i="2"/>
  <c r="E160" i="2"/>
  <c r="D161" i="2"/>
  <c r="E161" i="2"/>
  <c r="D162" i="2"/>
  <c r="E162" i="2"/>
  <c r="D163" i="2"/>
  <c r="E163" i="2"/>
  <c r="D164" i="2"/>
  <c r="E164" i="2"/>
  <c r="D165" i="2"/>
  <c r="E165" i="2"/>
  <c r="D166" i="2"/>
  <c r="E166" i="2"/>
  <c r="D167" i="2"/>
  <c r="E167" i="2"/>
  <c r="D168" i="2"/>
  <c r="E168" i="2"/>
  <c r="D169" i="2"/>
  <c r="E169" i="2"/>
  <c r="D170" i="2"/>
  <c r="E170" i="2"/>
  <c r="D171" i="2"/>
  <c r="E171" i="2"/>
  <c r="D172" i="2"/>
  <c r="E172" i="2"/>
  <c r="D173" i="2"/>
  <c r="E173" i="2"/>
  <c r="D174" i="2"/>
  <c r="E174" i="2"/>
  <c r="D175" i="2"/>
  <c r="E175" i="2"/>
  <c r="D176" i="2"/>
  <c r="E176" i="2"/>
  <c r="D177" i="2"/>
  <c r="E177" i="2"/>
  <c r="D178" i="2"/>
  <c r="E178" i="2"/>
  <c r="D179" i="2"/>
  <c r="E179" i="2"/>
  <c r="D180" i="2"/>
  <c r="E180" i="2"/>
  <c r="D181" i="2"/>
  <c r="E181" i="2"/>
  <c r="D182" i="2"/>
  <c r="E182" i="2"/>
  <c r="D183" i="2"/>
  <c r="E183" i="2"/>
  <c r="D184" i="2"/>
  <c r="E184" i="2"/>
  <c r="D185" i="2"/>
  <c r="E185" i="2"/>
  <c r="D186" i="2"/>
  <c r="E186" i="2"/>
  <c r="D187" i="2"/>
  <c r="E187" i="2"/>
  <c r="D188" i="2"/>
  <c r="E188" i="2"/>
  <c r="D189" i="2"/>
  <c r="E189" i="2"/>
  <c r="D190" i="2"/>
  <c r="E190" i="2"/>
  <c r="D191" i="2"/>
  <c r="E191" i="2"/>
  <c r="D192" i="2"/>
  <c r="E192" i="2"/>
  <c r="D193" i="2"/>
  <c r="E193" i="2"/>
  <c r="D194" i="2"/>
  <c r="E194" i="2"/>
  <c r="D195" i="2"/>
  <c r="E195" i="2"/>
  <c r="D196" i="2"/>
  <c r="E196" i="2"/>
  <c r="D197" i="2"/>
  <c r="E197" i="2"/>
  <c r="D198" i="2"/>
  <c r="E198" i="2"/>
  <c r="D199" i="2"/>
  <c r="E199" i="2"/>
  <c r="D200" i="2"/>
  <c r="E200" i="2"/>
  <c r="D201" i="2"/>
  <c r="E201" i="2"/>
  <c r="D202" i="2"/>
  <c r="E202" i="2"/>
  <c r="D203" i="2"/>
  <c r="E203" i="2"/>
  <c r="D204" i="2"/>
  <c r="E204" i="2"/>
  <c r="D205" i="2"/>
  <c r="E205" i="2"/>
  <c r="D206" i="2"/>
  <c r="E206" i="2"/>
  <c r="D207" i="2"/>
  <c r="E207" i="2"/>
  <c r="D208" i="2"/>
  <c r="E208" i="2"/>
  <c r="D209" i="2"/>
  <c r="E209" i="2"/>
  <c r="D210" i="2"/>
  <c r="E210" i="2"/>
  <c r="D211" i="2"/>
  <c r="E211" i="2"/>
  <c r="D212" i="2"/>
  <c r="E212" i="2"/>
  <c r="D213" i="2"/>
  <c r="E213" i="2"/>
  <c r="D214" i="2"/>
  <c r="E214" i="2"/>
  <c r="D215" i="2"/>
  <c r="E215" i="2"/>
  <c r="D216" i="2"/>
  <c r="E216" i="2"/>
  <c r="D217" i="2"/>
  <c r="E217" i="2"/>
  <c r="D218" i="2"/>
  <c r="E218" i="2"/>
  <c r="D219" i="2"/>
  <c r="E219" i="2"/>
  <c r="D220" i="2"/>
  <c r="E220" i="2"/>
  <c r="D221" i="2"/>
  <c r="E221" i="2"/>
  <c r="D222" i="2"/>
  <c r="E222" i="2"/>
  <c r="D223" i="2"/>
  <c r="E223" i="2"/>
  <c r="D224" i="2"/>
  <c r="E224" i="2"/>
  <c r="D225" i="2"/>
  <c r="E225" i="2"/>
  <c r="D226" i="2"/>
  <c r="E226" i="2"/>
  <c r="D227" i="2"/>
  <c r="E227" i="2"/>
  <c r="D228" i="2"/>
  <c r="E228" i="2"/>
  <c r="D229" i="2"/>
  <c r="E229" i="2"/>
  <c r="D230" i="2"/>
  <c r="E230" i="2"/>
  <c r="D231" i="2"/>
  <c r="E231" i="2"/>
  <c r="D232" i="2"/>
  <c r="E232" i="2"/>
  <c r="D233" i="2"/>
  <c r="E233" i="2"/>
  <c r="D234" i="2"/>
  <c r="E234" i="2"/>
  <c r="D235" i="2"/>
  <c r="E235" i="2"/>
  <c r="D236" i="2"/>
  <c r="E236" i="2"/>
  <c r="D237" i="2"/>
  <c r="E237" i="2"/>
  <c r="D238" i="2"/>
  <c r="E238" i="2"/>
  <c r="D239" i="2"/>
  <c r="E239" i="2"/>
  <c r="D240" i="2"/>
  <c r="E240" i="2"/>
  <c r="D241" i="2"/>
  <c r="E241" i="2"/>
  <c r="D242" i="2"/>
  <c r="E242" i="2"/>
  <c r="D243" i="2"/>
  <c r="E243" i="2"/>
  <c r="D244" i="2"/>
  <c r="E244" i="2"/>
  <c r="D245" i="2"/>
  <c r="E245" i="2"/>
  <c r="D246" i="2"/>
  <c r="E246" i="2"/>
  <c r="D247" i="2"/>
  <c r="E247" i="2"/>
  <c r="D248" i="2"/>
  <c r="E248" i="2"/>
  <c r="D249" i="2"/>
  <c r="E249" i="2"/>
  <c r="D250" i="2"/>
  <c r="E250" i="2"/>
  <c r="D251" i="2"/>
  <c r="E251" i="2"/>
  <c r="D252" i="2"/>
  <c r="E252" i="2"/>
  <c r="E7" i="2"/>
  <c r="D7" i="2"/>
  <c r="D8" i="5"/>
  <c r="E8" i="5"/>
  <c r="D9" i="5"/>
  <c r="E9" i="5"/>
  <c r="D10" i="5"/>
  <c r="E10" i="5"/>
  <c r="D11" i="5"/>
  <c r="E11" i="5"/>
  <c r="D12" i="5"/>
  <c r="E12" i="5"/>
  <c r="D13" i="5"/>
  <c r="E13" i="5"/>
  <c r="D14" i="5"/>
  <c r="E14" i="5"/>
  <c r="D15" i="5"/>
  <c r="E15" i="5"/>
  <c r="D16" i="5"/>
  <c r="E16" i="5"/>
  <c r="D17" i="5"/>
  <c r="E17" i="5"/>
  <c r="D18" i="5"/>
  <c r="E18" i="5"/>
  <c r="D19" i="5"/>
  <c r="E19" i="5"/>
  <c r="D20" i="5"/>
  <c r="E20" i="5"/>
  <c r="D21" i="5"/>
  <c r="E21" i="5"/>
  <c r="D22" i="5"/>
  <c r="E22" i="5"/>
  <c r="D23" i="5"/>
  <c r="E23" i="5"/>
  <c r="D24" i="5"/>
  <c r="E24" i="5"/>
  <c r="D25" i="5"/>
  <c r="E25" i="5"/>
  <c r="D26" i="5"/>
  <c r="E26" i="5"/>
  <c r="D27" i="5"/>
  <c r="E27" i="5"/>
  <c r="D28" i="5"/>
  <c r="E28" i="5"/>
  <c r="D29" i="5"/>
  <c r="E29" i="5"/>
  <c r="D30" i="5"/>
  <c r="E30" i="5"/>
  <c r="D31" i="5"/>
  <c r="E31" i="5"/>
  <c r="D32" i="5"/>
  <c r="E32" i="5"/>
  <c r="D33" i="5"/>
  <c r="E33" i="5"/>
  <c r="D34" i="5"/>
  <c r="E34" i="5"/>
  <c r="D35" i="5"/>
  <c r="E35" i="5"/>
  <c r="D36" i="5"/>
  <c r="E36" i="5"/>
  <c r="D37" i="5"/>
  <c r="E37" i="5"/>
  <c r="D38" i="5"/>
  <c r="E38" i="5"/>
  <c r="D39" i="5"/>
  <c r="E39" i="5"/>
  <c r="D40" i="5"/>
  <c r="E40" i="5"/>
  <c r="D41" i="5"/>
  <c r="E41" i="5"/>
  <c r="D42" i="5"/>
  <c r="E42" i="5"/>
  <c r="D43" i="5"/>
  <c r="E43" i="5"/>
  <c r="D44" i="5"/>
  <c r="E44" i="5"/>
  <c r="D45" i="5"/>
  <c r="E45" i="5"/>
  <c r="D46" i="5"/>
  <c r="E46" i="5"/>
  <c r="D47" i="5"/>
  <c r="E47" i="5"/>
  <c r="D48" i="5"/>
  <c r="E48" i="5"/>
  <c r="D49" i="5"/>
  <c r="E49" i="5"/>
  <c r="D50" i="5"/>
  <c r="E50" i="5"/>
  <c r="D51" i="5"/>
  <c r="E51" i="5"/>
  <c r="D52" i="5"/>
  <c r="E52" i="5"/>
  <c r="D53" i="5"/>
  <c r="E53" i="5"/>
  <c r="D54" i="5"/>
  <c r="E54" i="5"/>
  <c r="D55" i="5"/>
  <c r="E55" i="5"/>
  <c r="D56" i="5"/>
  <c r="E56" i="5"/>
  <c r="D57" i="5"/>
  <c r="E57" i="5"/>
  <c r="D58" i="5"/>
  <c r="E58" i="5"/>
  <c r="D59" i="5"/>
  <c r="E59" i="5"/>
  <c r="D60" i="5"/>
  <c r="E60" i="5"/>
  <c r="D61" i="5"/>
  <c r="E61" i="5"/>
  <c r="D62" i="5"/>
  <c r="E62" i="5"/>
  <c r="D63" i="5"/>
  <c r="E63" i="5"/>
  <c r="D64" i="5"/>
  <c r="E64" i="5"/>
  <c r="D65" i="5"/>
  <c r="E65" i="5"/>
  <c r="D66" i="5"/>
  <c r="E66" i="5"/>
  <c r="D67" i="5"/>
  <c r="E67" i="5"/>
  <c r="D68" i="5"/>
  <c r="E68" i="5"/>
  <c r="D69" i="5"/>
  <c r="E69" i="5"/>
  <c r="D70" i="5"/>
  <c r="E70" i="5"/>
  <c r="D71" i="5"/>
  <c r="E71" i="5"/>
  <c r="D72" i="5"/>
  <c r="E72" i="5"/>
  <c r="D73" i="5"/>
  <c r="E73" i="5"/>
  <c r="D74" i="5"/>
  <c r="E74" i="5"/>
  <c r="D75" i="5"/>
  <c r="E75" i="5"/>
  <c r="D76" i="5"/>
  <c r="E76" i="5"/>
  <c r="D77" i="5"/>
  <c r="E77" i="5"/>
  <c r="D78" i="5"/>
  <c r="E78" i="5"/>
  <c r="D79" i="5"/>
  <c r="E79" i="5"/>
  <c r="D80" i="5"/>
  <c r="E80" i="5"/>
  <c r="D81" i="5"/>
  <c r="E81" i="5"/>
  <c r="D82" i="5"/>
  <c r="E82" i="5"/>
  <c r="D83" i="5"/>
  <c r="E83" i="5"/>
  <c r="D84" i="5"/>
  <c r="E84" i="5"/>
  <c r="D85" i="5"/>
  <c r="E85" i="5"/>
  <c r="D86" i="5"/>
  <c r="E86" i="5"/>
  <c r="D87" i="5"/>
  <c r="E87" i="5"/>
  <c r="D88" i="5"/>
  <c r="E88" i="5"/>
  <c r="D89" i="5"/>
  <c r="E89" i="5"/>
  <c r="D90" i="5"/>
  <c r="E90" i="5"/>
  <c r="D91" i="5"/>
  <c r="E91" i="5"/>
  <c r="D92" i="5"/>
  <c r="E92" i="5"/>
  <c r="D93" i="5"/>
  <c r="E93" i="5"/>
  <c r="D94" i="5"/>
  <c r="E94" i="5"/>
  <c r="D95" i="5"/>
  <c r="E95" i="5"/>
  <c r="D96" i="5"/>
  <c r="E96" i="5"/>
  <c r="D97" i="5"/>
  <c r="E97" i="5"/>
  <c r="D98" i="5"/>
  <c r="E98" i="5"/>
  <c r="D99" i="5"/>
  <c r="E99" i="5"/>
  <c r="D100" i="5"/>
  <c r="E100" i="5"/>
  <c r="D101" i="5"/>
  <c r="E101" i="5"/>
  <c r="D102" i="5"/>
  <c r="E102" i="5"/>
  <c r="D103" i="5"/>
  <c r="E103" i="5"/>
  <c r="D104" i="5"/>
  <c r="E104" i="5"/>
  <c r="D105" i="5"/>
  <c r="E105" i="5"/>
  <c r="D106" i="5"/>
  <c r="E106" i="5"/>
  <c r="D107" i="5"/>
  <c r="E107" i="5"/>
  <c r="D108" i="5"/>
  <c r="E108" i="5"/>
  <c r="D109" i="5"/>
  <c r="E109" i="5"/>
  <c r="D110" i="5"/>
  <c r="E110" i="5"/>
  <c r="D111" i="5"/>
  <c r="E111" i="5"/>
  <c r="D112" i="5"/>
  <c r="E112" i="5"/>
  <c r="D113" i="5"/>
  <c r="E113" i="5"/>
  <c r="D114" i="5"/>
  <c r="E114" i="5"/>
  <c r="D115" i="5"/>
  <c r="E115" i="5"/>
  <c r="D116" i="5"/>
  <c r="E116" i="5"/>
  <c r="D117" i="5"/>
  <c r="E117" i="5"/>
  <c r="D118" i="5"/>
  <c r="E118" i="5"/>
  <c r="D119" i="5"/>
  <c r="E119" i="5"/>
  <c r="D120" i="5"/>
  <c r="E120" i="5"/>
  <c r="D121" i="5"/>
  <c r="E121" i="5"/>
  <c r="D122" i="5"/>
  <c r="E122" i="5"/>
  <c r="D123" i="5"/>
  <c r="E123" i="5"/>
  <c r="D124" i="5"/>
  <c r="E124" i="5"/>
  <c r="D125" i="5"/>
  <c r="E125" i="5"/>
  <c r="D126" i="5"/>
  <c r="E126" i="5"/>
  <c r="D127" i="5"/>
  <c r="E127" i="5"/>
  <c r="D128" i="5"/>
  <c r="E128" i="5"/>
  <c r="D129" i="5"/>
  <c r="E129" i="5"/>
  <c r="D130" i="5"/>
  <c r="E130" i="5"/>
  <c r="D131" i="5"/>
  <c r="E131" i="5"/>
  <c r="D132" i="5"/>
  <c r="E132" i="5"/>
  <c r="D133" i="5"/>
  <c r="E133" i="5"/>
  <c r="D134" i="5"/>
  <c r="E134" i="5"/>
  <c r="D135" i="5"/>
  <c r="E135" i="5"/>
  <c r="D136" i="5"/>
  <c r="E136" i="5"/>
  <c r="D137" i="5"/>
  <c r="E137" i="5"/>
  <c r="D138" i="5"/>
  <c r="E138" i="5"/>
  <c r="D139" i="5"/>
  <c r="E139" i="5"/>
  <c r="D140" i="5"/>
  <c r="E140" i="5"/>
  <c r="D141" i="5"/>
  <c r="E141" i="5"/>
  <c r="D142" i="5"/>
  <c r="E142" i="5"/>
  <c r="D143" i="5"/>
  <c r="E143" i="5"/>
  <c r="D144" i="5"/>
  <c r="E144" i="5"/>
  <c r="D145" i="5"/>
  <c r="E145" i="5"/>
  <c r="D146" i="5"/>
  <c r="E146" i="5"/>
  <c r="D147" i="5"/>
  <c r="E147" i="5"/>
  <c r="D148" i="5"/>
  <c r="E148" i="5"/>
  <c r="D149" i="5"/>
  <c r="E149" i="5"/>
  <c r="D150" i="5"/>
  <c r="E150" i="5"/>
  <c r="D151" i="5"/>
  <c r="E151" i="5"/>
  <c r="D152" i="5"/>
  <c r="E152" i="5"/>
  <c r="D153" i="5"/>
  <c r="E153" i="5"/>
  <c r="D154" i="5"/>
  <c r="E154" i="5"/>
  <c r="D155" i="5"/>
  <c r="E155" i="5"/>
  <c r="D156" i="5"/>
  <c r="E156" i="5"/>
  <c r="D157" i="5"/>
  <c r="E157" i="5"/>
  <c r="D158" i="5"/>
  <c r="E158" i="5"/>
  <c r="D159" i="5"/>
  <c r="E159" i="5"/>
  <c r="D160" i="5"/>
  <c r="E160" i="5"/>
  <c r="D161" i="5"/>
  <c r="E161" i="5"/>
  <c r="D162" i="5"/>
  <c r="E162" i="5"/>
  <c r="D163" i="5"/>
  <c r="E163" i="5"/>
  <c r="D164" i="5"/>
  <c r="E164" i="5"/>
  <c r="D165" i="5"/>
  <c r="E165" i="5"/>
  <c r="D166" i="5"/>
  <c r="E166" i="5"/>
  <c r="D167" i="5"/>
  <c r="E167" i="5"/>
  <c r="D168" i="5"/>
  <c r="E168" i="5"/>
  <c r="D169" i="5"/>
  <c r="E169" i="5"/>
  <c r="D170" i="5"/>
  <c r="E170" i="5"/>
  <c r="D171" i="5"/>
  <c r="E171" i="5"/>
  <c r="D172" i="5"/>
  <c r="E172" i="5"/>
  <c r="D173" i="5"/>
  <c r="E173" i="5"/>
  <c r="D174" i="5"/>
  <c r="E174" i="5"/>
  <c r="D175" i="5"/>
  <c r="E175" i="5"/>
  <c r="D176" i="5"/>
  <c r="E176" i="5"/>
  <c r="D177" i="5"/>
  <c r="E177" i="5"/>
  <c r="D178" i="5"/>
  <c r="E178" i="5"/>
  <c r="D179" i="5"/>
  <c r="E179" i="5"/>
  <c r="D180" i="5"/>
  <c r="E180" i="5"/>
  <c r="D181" i="5"/>
  <c r="E181" i="5"/>
  <c r="D182" i="5"/>
  <c r="E182" i="5"/>
  <c r="D183" i="5"/>
  <c r="E183" i="5"/>
  <c r="D184" i="5"/>
  <c r="E184" i="5"/>
  <c r="D185" i="5"/>
  <c r="E185" i="5"/>
  <c r="D186" i="5"/>
  <c r="E186" i="5"/>
  <c r="D187" i="5"/>
  <c r="E187" i="5"/>
  <c r="D188" i="5"/>
  <c r="E188" i="5"/>
  <c r="D189" i="5"/>
  <c r="E189" i="5"/>
  <c r="D190" i="5"/>
  <c r="E190" i="5"/>
  <c r="D191" i="5"/>
  <c r="E191" i="5"/>
  <c r="D192" i="5"/>
  <c r="E192" i="5"/>
  <c r="D193" i="5"/>
  <c r="E193" i="5"/>
  <c r="D194" i="5"/>
  <c r="E194" i="5"/>
  <c r="D195" i="5"/>
  <c r="E195" i="5"/>
  <c r="D196" i="5"/>
  <c r="E196" i="5"/>
  <c r="D197" i="5"/>
  <c r="E197" i="5"/>
  <c r="D198" i="5"/>
  <c r="E198" i="5"/>
  <c r="D199" i="5"/>
  <c r="E199" i="5"/>
  <c r="D200" i="5"/>
  <c r="E200" i="5"/>
  <c r="D201" i="5"/>
  <c r="E201" i="5"/>
  <c r="D202" i="5"/>
  <c r="E202" i="5"/>
  <c r="D203" i="5"/>
  <c r="E203" i="5"/>
  <c r="D204" i="5"/>
  <c r="E204" i="5"/>
  <c r="D205" i="5"/>
  <c r="E205" i="5"/>
  <c r="D206" i="5"/>
  <c r="E206" i="5"/>
  <c r="D207" i="5"/>
  <c r="E207" i="5"/>
  <c r="D208" i="5"/>
  <c r="E208" i="5"/>
  <c r="D209" i="5"/>
  <c r="E209" i="5"/>
  <c r="D210" i="5"/>
  <c r="E210" i="5"/>
  <c r="D211" i="5"/>
  <c r="E211" i="5"/>
  <c r="D212" i="5"/>
  <c r="E212" i="5"/>
  <c r="D213" i="5"/>
  <c r="E213" i="5"/>
  <c r="D214" i="5"/>
  <c r="E214" i="5"/>
  <c r="D215" i="5"/>
  <c r="E215" i="5"/>
  <c r="D216" i="5"/>
  <c r="E216" i="5"/>
  <c r="D217" i="5"/>
  <c r="E217" i="5"/>
  <c r="D218" i="5"/>
  <c r="E218" i="5"/>
  <c r="D219" i="5"/>
  <c r="E219" i="5"/>
  <c r="D220" i="5"/>
  <c r="E220" i="5"/>
  <c r="D221" i="5"/>
  <c r="E221" i="5"/>
  <c r="D222" i="5"/>
  <c r="E222" i="5"/>
  <c r="D223" i="5"/>
  <c r="E223" i="5"/>
  <c r="D224" i="5"/>
  <c r="E224" i="5"/>
  <c r="D225" i="5"/>
  <c r="E225" i="5"/>
  <c r="D226" i="5"/>
  <c r="E226" i="5"/>
  <c r="D227" i="5"/>
  <c r="E227" i="5"/>
  <c r="D228" i="5"/>
  <c r="E228" i="5"/>
  <c r="D229" i="5"/>
  <c r="E229" i="5"/>
  <c r="D230" i="5"/>
  <c r="E230" i="5"/>
  <c r="D231" i="5"/>
  <c r="E231" i="5"/>
  <c r="D232" i="5"/>
  <c r="E232" i="5"/>
  <c r="D233" i="5"/>
  <c r="E233" i="5"/>
  <c r="D234" i="5"/>
  <c r="E234" i="5"/>
  <c r="D235" i="5"/>
  <c r="E235" i="5"/>
  <c r="D236" i="5"/>
  <c r="E236" i="5"/>
  <c r="D237" i="5"/>
  <c r="E237" i="5"/>
  <c r="D238" i="5"/>
  <c r="E238" i="5"/>
  <c r="D239" i="5"/>
  <c r="E239" i="5"/>
  <c r="D240" i="5"/>
  <c r="E240" i="5"/>
  <c r="D241" i="5"/>
  <c r="E241" i="5"/>
  <c r="D242" i="5"/>
  <c r="E242" i="5"/>
  <c r="D243" i="5"/>
  <c r="E243" i="5"/>
  <c r="D244" i="5"/>
  <c r="E244" i="5"/>
  <c r="D245" i="5"/>
  <c r="E245" i="5"/>
  <c r="D246" i="5"/>
  <c r="E246" i="5"/>
  <c r="D247" i="5"/>
  <c r="E247" i="5"/>
  <c r="D248" i="5"/>
  <c r="E248" i="5"/>
  <c r="D249" i="5"/>
  <c r="E249" i="5"/>
  <c r="D250" i="5"/>
  <c r="E250" i="5"/>
  <c r="D251" i="5"/>
  <c r="E251" i="5"/>
  <c r="D252" i="5"/>
  <c r="E252" i="5"/>
  <c r="E7" i="5"/>
  <c r="D7" i="5"/>
  <c r="D8" i="4"/>
  <c r="E8" i="4"/>
  <c r="D9" i="4"/>
  <c r="E9" i="4"/>
  <c r="D10" i="4"/>
  <c r="E10" i="4"/>
  <c r="D11" i="4"/>
  <c r="E11" i="4"/>
  <c r="D12" i="4"/>
  <c r="E12" i="4"/>
  <c r="D13" i="4"/>
  <c r="E13" i="4"/>
  <c r="D14" i="4"/>
  <c r="E14" i="4"/>
  <c r="D15" i="4"/>
  <c r="E15" i="4"/>
  <c r="D16" i="4"/>
  <c r="E16" i="4"/>
  <c r="D17" i="4"/>
  <c r="E17" i="4"/>
  <c r="D18" i="4"/>
  <c r="E18" i="4"/>
  <c r="D19" i="4"/>
  <c r="E19" i="4"/>
  <c r="D20" i="4"/>
  <c r="E20" i="4"/>
  <c r="D21" i="4"/>
  <c r="E21" i="4"/>
  <c r="D22" i="4"/>
  <c r="E22" i="4"/>
  <c r="D23" i="4"/>
  <c r="E23" i="4"/>
  <c r="D24" i="4"/>
  <c r="E24" i="4"/>
  <c r="D25" i="4"/>
  <c r="E25" i="4"/>
  <c r="D26" i="4"/>
  <c r="E26" i="4"/>
  <c r="D27" i="4"/>
  <c r="E27" i="4"/>
  <c r="D28" i="4"/>
  <c r="E28" i="4"/>
  <c r="D29" i="4"/>
  <c r="E29" i="4"/>
  <c r="D30" i="4"/>
  <c r="E30" i="4"/>
  <c r="D31" i="4"/>
  <c r="E31" i="4"/>
  <c r="D32" i="4"/>
  <c r="E32" i="4"/>
  <c r="D33" i="4"/>
  <c r="E33" i="4"/>
  <c r="D34" i="4"/>
  <c r="E34" i="4"/>
  <c r="D35" i="4"/>
  <c r="E35" i="4"/>
  <c r="D36" i="4"/>
  <c r="E36" i="4"/>
  <c r="D37" i="4"/>
  <c r="E37" i="4"/>
  <c r="D38" i="4"/>
  <c r="E38" i="4"/>
  <c r="D39" i="4"/>
  <c r="E39" i="4"/>
  <c r="D40" i="4"/>
  <c r="E40" i="4"/>
  <c r="D41" i="4"/>
  <c r="E41" i="4"/>
  <c r="D42" i="4"/>
  <c r="E42" i="4"/>
  <c r="D43" i="4"/>
  <c r="E43" i="4"/>
  <c r="D44" i="4"/>
  <c r="E44" i="4"/>
  <c r="D45" i="4"/>
  <c r="E45" i="4"/>
  <c r="D46" i="4"/>
  <c r="E46" i="4"/>
  <c r="D47" i="4"/>
  <c r="E47" i="4"/>
  <c r="D48" i="4"/>
  <c r="E48" i="4"/>
  <c r="D49" i="4"/>
  <c r="E49" i="4"/>
  <c r="D50" i="4"/>
  <c r="E50" i="4"/>
  <c r="D51" i="4"/>
  <c r="E51" i="4"/>
  <c r="D52" i="4"/>
  <c r="E52" i="4"/>
  <c r="D53" i="4"/>
  <c r="E53" i="4"/>
  <c r="D54" i="4"/>
  <c r="E54" i="4"/>
  <c r="D55" i="4"/>
  <c r="E55" i="4"/>
  <c r="D56" i="4"/>
  <c r="E56" i="4"/>
  <c r="D57" i="4"/>
  <c r="E57" i="4"/>
  <c r="D58" i="4"/>
  <c r="E58" i="4"/>
  <c r="D59" i="4"/>
  <c r="E59" i="4"/>
  <c r="D60" i="4"/>
  <c r="E60" i="4"/>
  <c r="D61" i="4"/>
  <c r="E61" i="4"/>
  <c r="D62" i="4"/>
  <c r="E62" i="4"/>
  <c r="D63" i="4"/>
  <c r="E63" i="4"/>
  <c r="D64" i="4"/>
  <c r="E64" i="4"/>
  <c r="D65" i="4"/>
  <c r="E65" i="4"/>
  <c r="D66" i="4"/>
  <c r="E66" i="4"/>
  <c r="D67" i="4"/>
  <c r="E67" i="4"/>
  <c r="D68" i="4"/>
  <c r="E68" i="4"/>
  <c r="D69" i="4"/>
  <c r="E69" i="4"/>
  <c r="D70" i="4"/>
  <c r="E70" i="4"/>
  <c r="D71" i="4"/>
  <c r="E71" i="4"/>
  <c r="D72" i="4"/>
  <c r="E72" i="4"/>
  <c r="D73" i="4"/>
  <c r="E73" i="4"/>
  <c r="D74" i="4"/>
  <c r="E74" i="4"/>
  <c r="D75" i="4"/>
  <c r="E75" i="4"/>
  <c r="D76" i="4"/>
  <c r="E76" i="4"/>
  <c r="D77" i="4"/>
  <c r="E77" i="4"/>
  <c r="D78" i="4"/>
  <c r="E78" i="4"/>
  <c r="D79" i="4"/>
  <c r="E79" i="4"/>
  <c r="D80" i="4"/>
  <c r="E80" i="4"/>
  <c r="D81" i="4"/>
  <c r="E81" i="4"/>
  <c r="D82" i="4"/>
  <c r="E82" i="4"/>
  <c r="D83" i="4"/>
  <c r="E83" i="4"/>
  <c r="D84" i="4"/>
  <c r="E84" i="4"/>
  <c r="D85" i="4"/>
  <c r="E85" i="4"/>
  <c r="D86" i="4"/>
  <c r="E86" i="4"/>
  <c r="D87" i="4"/>
  <c r="E87" i="4"/>
  <c r="D88" i="4"/>
  <c r="E88" i="4"/>
  <c r="D89" i="4"/>
  <c r="E89" i="4"/>
  <c r="D90" i="4"/>
  <c r="E90" i="4"/>
  <c r="D91" i="4"/>
  <c r="E91" i="4"/>
  <c r="D92" i="4"/>
  <c r="E92" i="4"/>
  <c r="D93" i="4"/>
  <c r="E93" i="4"/>
  <c r="D94" i="4"/>
  <c r="E94" i="4"/>
  <c r="D95" i="4"/>
  <c r="E95" i="4"/>
  <c r="D96" i="4"/>
  <c r="E96" i="4"/>
  <c r="D97" i="4"/>
  <c r="E97" i="4"/>
  <c r="D98" i="4"/>
  <c r="E98" i="4"/>
  <c r="D99" i="4"/>
  <c r="E99" i="4"/>
  <c r="D100" i="4"/>
  <c r="E100" i="4"/>
  <c r="D101" i="4"/>
  <c r="E101" i="4"/>
  <c r="D102" i="4"/>
  <c r="E102" i="4"/>
  <c r="D103" i="4"/>
  <c r="E103" i="4"/>
  <c r="D104" i="4"/>
  <c r="E104" i="4"/>
  <c r="D105" i="4"/>
  <c r="E105" i="4"/>
  <c r="D106" i="4"/>
  <c r="E106" i="4"/>
  <c r="D107" i="4"/>
  <c r="E107" i="4"/>
  <c r="D108" i="4"/>
  <c r="E108" i="4"/>
  <c r="D109" i="4"/>
  <c r="E109" i="4"/>
  <c r="D110" i="4"/>
  <c r="E110" i="4"/>
  <c r="D111" i="4"/>
  <c r="E111" i="4"/>
  <c r="D112" i="4"/>
  <c r="E112" i="4"/>
  <c r="D113" i="4"/>
  <c r="E113" i="4"/>
  <c r="D114" i="4"/>
  <c r="E114" i="4"/>
  <c r="D115" i="4"/>
  <c r="E115" i="4"/>
  <c r="D116" i="4"/>
  <c r="E116" i="4"/>
  <c r="D117" i="4"/>
  <c r="E117" i="4"/>
  <c r="D118" i="4"/>
  <c r="E118" i="4"/>
  <c r="D119" i="4"/>
  <c r="E119" i="4"/>
  <c r="D120" i="4"/>
  <c r="E120" i="4"/>
  <c r="D121" i="4"/>
  <c r="E121" i="4"/>
  <c r="D122" i="4"/>
  <c r="E122" i="4"/>
  <c r="D123" i="4"/>
  <c r="E123" i="4"/>
  <c r="D124" i="4"/>
  <c r="E124" i="4"/>
  <c r="D125" i="4"/>
  <c r="E125" i="4"/>
  <c r="D126" i="4"/>
  <c r="E126" i="4"/>
  <c r="D127" i="4"/>
  <c r="E127" i="4"/>
  <c r="D128" i="4"/>
  <c r="E128" i="4"/>
  <c r="D129" i="4"/>
  <c r="E129" i="4"/>
  <c r="D130" i="4"/>
  <c r="E130" i="4"/>
  <c r="D131" i="4"/>
  <c r="E131" i="4"/>
  <c r="D132" i="4"/>
  <c r="E132" i="4"/>
  <c r="D133" i="4"/>
  <c r="E133" i="4"/>
  <c r="D134" i="4"/>
  <c r="E134" i="4"/>
  <c r="D135" i="4"/>
  <c r="E135" i="4"/>
  <c r="D136" i="4"/>
  <c r="E136" i="4"/>
  <c r="D137" i="4"/>
  <c r="E137" i="4"/>
  <c r="D138" i="4"/>
  <c r="E138" i="4"/>
  <c r="D139" i="4"/>
  <c r="E139" i="4"/>
  <c r="D140" i="4"/>
  <c r="E140" i="4"/>
  <c r="D141" i="4"/>
  <c r="E141" i="4"/>
  <c r="D142" i="4"/>
  <c r="E142" i="4"/>
  <c r="D143" i="4"/>
  <c r="E143" i="4"/>
  <c r="D144" i="4"/>
  <c r="E144" i="4"/>
  <c r="D145" i="4"/>
  <c r="E145" i="4"/>
  <c r="D146" i="4"/>
  <c r="E146" i="4"/>
  <c r="D147" i="4"/>
  <c r="E147" i="4"/>
  <c r="D148" i="4"/>
  <c r="E148" i="4"/>
  <c r="D149" i="4"/>
  <c r="E149" i="4"/>
  <c r="D150" i="4"/>
  <c r="E150" i="4"/>
  <c r="D151" i="4"/>
  <c r="E151" i="4"/>
  <c r="D152" i="4"/>
  <c r="E152" i="4"/>
  <c r="D153" i="4"/>
  <c r="E153" i="4"/>
  <c r="D154" i="4"/>
  <c r="E154" i="4"/>
  <c r="D155" i="4"/>
  <c r="E155" i="4"/>
  <c r="D156" i="4"/>
  <c r="E156" i="4"/>
  <c r="D157" i="4"/>
  <c r="E157" i="4"/>
  <c r="D158" i="4"/>
  <c r="E158" i="4"/>
  <c r="D159" i="4"/>
  <c r="E159" i="4"/>
  <c r="D160" i="4"/>
  <c r="E160" i="4"/>
  <c r="D161" i="4"/>
  <c r="E161" i="4"/>
  <c r="D162" i="4"/>
  <c r="E162" i="4"/>
  <c r="D163" i="4"/>
  <c r="E163" i="4"/>
  <c r="D164" i="4"/>
  <c r="E164" i="4"/>
  <c r="D165" i="4"/>
  <c r="E165" i="4"/>
  <c r="D166" i="4"/>
  <c r="E166" i="4"/>
  <c r="D167" i="4"/>
  <c r="E167" i="4"/>
  <c r="D168" i="4"/>
  <c r="E168" i="4"/>
  <c r="D169" i="4"/>
  <c r="E169" i="4"/>
  <c r="D170" i="4"/>
  <c r="E170" i="4"/>
  <c r="D171" i="4"/>
  <c r="E171" i="4"/>
  <c r="D172" i="4"/>
  <c r="E172" i="4"/>
  <c r="D173" i="4"/>
  <c r="E173" i="4"/>
  <c r="D174" i="4"/>
  <c r="E174" i="4"/>
  <c r="D175" i="4"/>
  <c r="E175" i="4"/>
  <c r="D176" i="4"/>
  <c r="E176" i="4"/>
  <c r="D177" i="4"/>
  <c r="E177" i="4"/>
  <c r="D178" i="4"/>
  <c r="E178" i="4"/>
  <c r="D179" i="4"/>
  <c r="E179" i="4"/>
  <c r="D180" i="4"/>
  <c r="E180" i="4"/>
  <c r="D181" i="4"/>
  <c r="E181" i="4"/>
  <c r="D182" i="4"/>
  <c r="E182" i="4"/>
  <c r="D183" i="4"/>
  <c r="E183" i="4"/>
  <c r="D184" i="4"/>
  <c r="E184" i="4"/>
  <c r="D185" i="4"/>
  <c r="E185" i="4"/>
  <c r="D186" i="4"/>
  <c r="E186" i="4"/>
  <c r="D187" i="4"/>
  <c r="E187" i="4"/>
  <c r="D188" i="4"/>
  <c r="E188" i="4"/>
  <c r="D189" i="4"/>
  <c r="E189" i="4"/>
  <c r="D190" i="4"/>
  <c r="E190" i="4"/>
  <c r="D191" i="4"/>
  <c r="E191" i="4"/>
  <c r="D192" i="4"/>
  <c r="E192" i="4"/>
  <c r="D193" i="4"/>
  <c r="E193" i="4"/>
  <c r="D194" i="4"/>
  <c r="E194" i="4"/>
  <c r="D195" i="4"/>
  <c r="E195" i="4"/>
  <c r="D196" i="4"/>
  <c r="E196" i="4"/>
  <c r="D197" i="4"/>
  <c r="E197" i="4"/>
  <c r="D198" i="4"/>
  <c r="E198" i="4"/>
  <c r="D199" i="4"/>
  <c r="E199" i="4"/>
  <c r="D200" i="4"/>
  <c r="E200" i="4"/>
  <c r="D201" i="4"/>
  <c r="E201" i="4"/>
  <c r="D202" i="4"/>
  <c r="E202" i="4"/>
  <c r="D203" i="4"/>
  <c r="E203" i="4"/>
  <c r="D204" i="4"/>
  <c r="E204" i="4"/>
  <c r="D205" i="4"/>
  <c r="E205" i="4"/>
  <c r="D206" i="4"/>
  <c r="E206" i="4"/>
  <c r="D207" i="4"/>
  <c r="E207" i="4"/>
  <c r="D208" i="4"/>
  <c r="E208" i="4"/>
  <c r="D209" i="4"/>
  <c r="E209" i="4"/>
  <c r="D210" i="4"/>
  <c r="E210" i="4"/>
  <c r="D211" i="4"/>
  <c r="E211" i="4"/>
  <c r="D212" i="4"/>
  <c r="E212" i="4"/>
  <c r="D213" i="4"/>
  <c r="E213" i="4"/>
  <c r="D214" i="4"/>
  <c r="E214" i="4"/>
  <c r="D215" i="4"/>
  <c r="E215" i="4"/>
  <c r="D216" i="4"/>
  <c r="E216" i="4"/>
  <c r="D217" i="4"/>
  <c r="E217" i="4"/>
  <c r="D218" i="4"/>
  <c r="E218" i="4"/>
  <c r="D219" i="4"/>
  <c r="E219" i="4"/>
  <c r="D220" i="4"/>
  <c r="E220" i="4"/>
  <c r="D221" i="4"/>
  <c r="E221" i="4"/>
  <c r="D222" i="4"/>
  <c r="E222" i="4"/>
  <c r="D223" i="4"/>
  <c r="E223" i="4"/>
  <c r="D224" i="4"/>
  <c r="E224" i="4"/>
  <c r="D225" i="4"/>
  <c r="E225" i="4"/>
  <c r="D226" i="4"/>
  <c r="E226" i="4"/>
  <c r="D227" i="4"/>
  <c r="E227" i="4"/>
  <c r="D228" i="4"/>
  <c r="E228" i="4"/>
  <c r="D229" i="4"/>
  <c r="E229" i="4"/>
  <c r="D230" i="4"/>
  <c r="E230" i="4"/>
  <c r="D231" i="4"/>
  <c r="E231" i="4"/>
  <c r="D232" i="4"/>
  <c r="E232" i="4"/>
  <c r="D233" i="4"/>
  <c r="E233" i="4"/>
  <c r="D234" i="4"/>
  <c r="E234" i="4"/>
  <c r="D235" i="4"/>
  <c r="E235" i="4"/>
  <c r="D236" i="4"/>
  <c r="E236" i="4"/>
  <c r="D237" i="4"/>
  <c r="E237" i="4"/>
  <c r="D238" i="4"/>
  <c r="E238" i="4"/>
  <c r="D239" i="4"/>
  <c r="E239" i="4"/>
  <c r="D240" i="4"/>
  <c r="E240" i="4"/>
  <c r="D241" i="4"/>
  <c r="E241" i="4"/>
  <c r="D242" i="4"/>
  <c r="E242" i="4"/>
  <c r="D243" i="4"/>
  <c r="E243" i="4"/>
  <c r="D244" i="4"/>
  <c r="E244" i="4"/>
  <c r="D245" i="4"/>
  <c r="E245" i="4"/>
  <c r="D246" i="4"/>
  <c r="E246" i="4"/>
  <c r="D247" i="4"/>
  <c r="E247" i="4"/>
  <c r="D248" i="4"/>
  <c r="E248" i="4"/>
  <c r="D249" i="4"/>
  <c r="E249" i="4"/>
  <c r="D250" i="4"/>
  <c r="E250" i="4"/>
  <c r="D251" i="4"/>
  <c r="E251" i="4"/>
  <c r="D252" i="4"/>
  <c r="E252" i="4"/>
  <c r="E7" i="4"/>
  <c r="D7" i="4"/>
  <c r="D8" i="3"/>
  <c r="E8" i="3"/>
  <c r="D9" i="3"/>
  <c r="E9" i="3"/>
  <c r="D10" i="3"/>
  <c r="E10" i="3"/>
  <c r="D11" i="3"/>
  <c r="E11" i="3"/>
  <c r="D12" i="3"/>
  <c r="E12" i="3"/>
  <c r="D13" i="3"/>
  <c r="E13" i="3"/>
  <c r="D14" i="3"/>
  <c r="E14" i="3"/>
  <c r="D15" i="3"/>
  <c r="E15" i="3"/>
  <c r="D16" i="3"/>
  <c r="E16" i="3"/>
  <c r="D17" i="3"/>
  <c r="E17" i="3"/>
  <c r="D18" i="3"/>
  <c r="E18" i="3"/>
  <c r="D19" i="3"/>
  <c r="E19" i="3"/>
  <c r="D20" i="3"/>
  <c r="E20" i="3"/>
  <c r="D21" i="3"/>
  <c r="E21" i="3"/>
  <c r="D22" i="3"/>
  <c r="E22" i="3"/>
  <c r="D23" i="3"/>
  <c r="E23" i="3"/>
  <c r="D24" i="3"/>
  <c r="E24" i="3"/>
  <c r="D25" i="3"/>
  <c r="E25" i="3"/>
  <c r="D26" i="3"/>
  <c r="E26" i="3"/>
  <c r="D27" i="3"/>
  <c r="E27" i="3"/>
  <c r="D28" i="3"/>
  <c r="E28" i="3"/>
  <c r="D29" i="3"/>
  <c r="E29" i="3"/>
  <c r="D30" i="3"/>
  <c r="E30" i="3"/>
  <c r="D31" i="3"/>
  <c r="E31" i="3"/>
  <c r="D32" i="3"/>
  <c r="E32" i="3"/>
  <c r="D33" i="3"/>
  <c r="E33" i="3"/>
  <c r="D34" i="3"/>
  <c r="E34" i="3"/>
  <c r="D35" i="3"/>
  <c r="E35" i="3"/>
  <c r="D36" i="3"/>
  <c r="E36" i="3"/>
  <c r="D37" i="3"/>
  <c r="E37" i="3"/>
  <c r="D38" i="3"/>
  <c r="E38" i="3"/>
  <c r="D39" i="3"/>
  <c r="E39" i="3"/>
  <c r="D40" i="3"/>
  <c r="E40" i="3"/>
  <c r="D41" i="3"/>
  <c r="E41" i="3"/>
  <c r="D42" i="3"/>
  <c r="E42" i="3"/>
  <c r="D43" i="3"/>
  <c r="E43" i="3"/>
  <c r="D44" i="3"/>
  <c r="E44" i="3"/>
  <c r="D45" i="3"/>
  <c r="E45" i="3"/>
  <c r="D46" i="3"/>
  <c r="E46" i="3"/>
  <c r="D47" i="3"/>
  <c r="E47" i="3"/>
  <c r="D48" i="3"/>
  <c r="E48" i="3"/>
  <c r="D49" i="3"/>
  <c r="E49" i="3"/>
  <c r="D50" i="3"/>
  <c r="E50" i="3"/>
  <c r="D51" i="3"/>
  <c r="E51" i="3"/>
  <c r="D52" i="3"/>
  <c r="E52" i="3"/>
  <c r="D53" i="3"/>
  <c r="E53" i="3"/>
  <c r="D54" i="3"/>
  <c r="E54" i="3"/>
  <c r="D55" i="3"/>
  <c r="E55" i="3"/>
  <c r="D56" i="3"/>
  <c r="E56" i="3"/>
  <c r="D57" i="3"/>
  <c r="E57" i="3"/>
  <c r="D58" i="3"/>
  <c r="E58" i="3"/>
  <c r="D59" i="3"/>
  <c r="E59" i="3"/>
  <c r="D60" i="3"/>
  <c r="E60" i="3"/>
  <c r="D61" i="3"/>
  <c r="E61" i="3"/>
  <c r="D62" i="3"/>
  <c r="E62" i="3"/>
  <c r="D63" i="3"/>
  <c r="E63" i="3"/>
  <c r="D64" i="3"/>
  <c r="E64" i="3"/>
  <c r="D65" i="3"/>
  <c r="E65" i="3"/>
  <c r="D66" i="3"/>
  <c r="E66" i="3"/>
  <c r="D67" i="3"/>
  <c r="E67" i="3"/>
  <c r="D68" i="3"/>
  <c r="E68" i="3"/>
  <c r="D69" i="3"/>
  <c r="E69" i="3"/>
  <c r="D70" i="3"/>
  <c r="E70" i="3"/>
  <c r="D71" i="3"/>
  <c r="E71" i="3"/>
  <c r="D72" i="3"/>
  <c r="E72" i="3"/>
  <c r="D73" i="3"/>
  <c r="E73" i="3"/>
  <c r="D74" i="3"/>
  <c r="E74" i="3"/>
  <c r="D75" i="3"/>
  <c r="E75" i="3"/>
  <c r="D76" i="3"/>
  <c r="E76" i="3"/>
  <c r="D77" i="3"/>
  <c r="E77" i="3"/>
  <c r="D78" i="3"/>
  <c r="E78" i="3"/>
  <c r="D79" i="3"/>
  <c r="E79" i="3"/>
  <c r="D80" i="3"/>
  <c r="E80" i="3"/>
  <c r="D81" i="3"/>
  <c r="E81" i="3"/>
  <c r="D82" i="3"/>
  <c r="E82" i="3"/>
  <c r="D83" i="3"/>
  <c r="E83" i="3"/>
  <c r="D84" i="3"/>
  <c r="E84" i="3"/>
  <c r="D85" i="3"/>
  <c r="E85" i="3"/>
  <c r="D86" i="3"/>
  <c r="E86" i="3"/>
  <c r="D87" i="3"/>
  <c r="E87" i="3"/>
  <c r="D88" i="3"/>
  <c r="E88" i="3"/>
  <c r="D89" i="3"/>
  <c r="E89" i="3"/>
  <c r="D90" i="3"/>
  <c r="E90" i="3"/>
  <c r="D91" i="3"/>
  <c r="E91" i="3"/>
  <c r="D92" i="3"/>
  <c r="E92" i="3"/>
  <c r="D93" i="3"/>
  <c r="E93" i="3"/>
  <c r="D94" i="3"/>
  <c r="E94" i="3"/>
  <c r="D95" i="3"/>
  <c r="E95" i="3"/>
  <c r="D96" i="3"/>
  <c r="E96" i="3"/>
  <c r="D97" i="3"/>
  <c r="E97" i="3"/>
  <c r="D98" i="3"/>
  <c r="E98" i="3"/>
  <c r="D99" i="3"/>
  <c r="E99" i="3"/>
  <c r="D100" i="3"/>
  <c r="E100" i="3"/>
  <c r="D101" i="3"/>
  <c r="E101" i="3"/>
  <c r="D102" i="3"/>
  <c r="E102" i="3"/>
  <c r="D103" i="3"/>
  <c r="E103" i="3"/>
  <c r="D104" i="3"/>
  <c r="E104" i="3"/>
  <c r="D105" i="3"/>
  <c r="E105" i="3"/>
  <c r="D106" i="3"/>
  <c r="E106" i="3"/>
  <c r="D107" i="3"/>
  <c r="E107" i="3"/>
  <c r="D108" i="3"/>
  <c r="E108" i="3"/>
  <c r="D109" i="3"/>
  <c r="E109" i="3"/>
  <c r="D110" i="3"/>
  <c r="E110" i="3"/>
  <c r="D111" i="3"/>
  <c r="E111" i="3"/>
  <c r="D112" i="3"/>
  <c r="E112" i="3"/>
  <c r="D113" i="3"/>
  <c r="E113" i="3"/>
  <c r="D114" i="3"/>
  <c r="E114" i="3"/>
  <c r="D115" i="3"/>
  <c r="E115" i="3"/>
  <c r="D116" i="3"/>
  <c r="E116" i="3"/>
  <c r="D117" i="3"/>
  <c r="E117" i="3"/>
  <c r="D118" i="3"/>
  <c r="E118" i="3"/>
  <c r="D119" i="3"/>
  <c r="E119" i="3"/>
  <c r="D120" i="3"/>
  <c r="E120" i="3"/>
  <c r="D121" i="3"/>
  <c r="E121" i="3"/>
  <c r="D122" i="3"/>
  <c r="E122" i="3"/>
  <c r="D123" i="3"/>
  <c r="E123" i="3"/>
  <c r="D124" i="3"/>
  <c r="E124" i="3"/>
  <c r="D125" i="3"/>
  <c r="E125" i="3"/>
  <c r="D126" i="3"/>
  <c r="E126" i="3"/>
  <c r="D127" i="3"/>
  <c r="E127" i="3"/>
  <c r="D128" i="3"/>
  <c r="E128" i="3"/>
  <c r="D129" i="3"/>
  <c r="E129" i="3"/>
  <c r="D130" i="3"/>
  <c r="E130" i="3"/>
  <c r="D131" i="3"/>
  <c r="E131" i="3"/>
  <c r="D132" i="3"/>
  <c r="E132" i="3"/>
  <c r="D133" i="3"/>
  <c r="E133" i="3"/>
  <c r="D134" i="3"/>
  <c r="E134" i="3"/>
  <c r="D135" i="3"/>
  <c r="E135" i="3"/>
  <c r="D136" i="3"/>
  <c r="E136" i="3"/>
  <c r="D137" i="3"/>
  <c r="E137" i="3"/>
  <c r="D138" i="3"/>
  <c r="E138" i="3"/>
  <c r="D139" i="3"/>
  <c r="E139" i="3"/>
  <c r="D140" i="3"/>
  <c r="E140" i="3"/>
  <c r="D141" i="3"/>
  <c r="E141" i="3"/>
  <c r="D142" i="3"/>
  <c r="E142" i="3"/>
  <c r="D143" i="3"/>
  <c r="E143" i="3"/>
  <c r="D144" i="3"/>
  <c r="E144" i="3"/>
  <c r="D145" i="3"/>
  <c r="E145" i="3"/>
  <c r="D146" i="3"/>
  <c r="E146" i="3"/>
  <c r="D147" i="3"/>
  <c r="E147" i="3"/>
  <c r="D148" i="3"/>
  <c r="E148" i="3"/>
  <c r="D149" i="3"/>
  <c r="E149" i="3"/>
  <c r="D150" i="3"/>
  <c r="E150" i="3"/>
  <c r="D151" i="3"/>
  <c r="E151" i="3"/>
  <c r="D152" i="3"/>
  <c r="E152" i="3"/>
  <c r="D153" i="3"/>
  <c r="E153" i="3"/>
  <c r="D154" i="3"/>
  <c r="E154" i="3"/>
  <c r="D155" i="3"/>
  <c r="E155" i="3"/>
  <c r="D156" i="3"/>
  <c r="E156" i="3"/>
  <c r="D157" i="3"/>
  <c r="E157" i="3"/>
  <c r="D158" i="3"/>
  <c r="E158" i="3"/>
  <c r="D159" i="3"/>
  <c r="E159" i="3"/>
  <c r="D160" i="3"/>
  <c r="E160" i="3"/>
  <c r="D161" i="3"/>
  <c r="E161" i="3"/>
  <c r="D162" i="3"/>
  <c r="E162" i="3"/>
  <c r="D163" i="3"/>
  <c r="E163" i="3"/>
  <c r="D164" i="3"/>
  <c r="E164" i="3"/>
  <c r="D165" i="3"/>
  <c r="E165" i="3"/>
  <c r="D166" i="3"/>
  <c r="E166" i="3"/>
  <c r="D167" i="3"/>
  <c r="E167" i="3"/>
  <c r="D168" i="3"/>
  <c r="E168" i="3"/>
  <c r="D169" i="3"/>
  <c r="E169" i="3"/>
  <c r="D170" i="3"/>
  <c r="E170" i="3"/>
  <c r="D171" i="3"/>
  <c r="E171" i="3"/>
  <c r="D172" i="3"/>
  <c r="E172" i="3"/>
  <c r="D173" i="3"/>
  <c r="E173" i="3"/>
  <c r="D174" i="3"/>
  <c r="E174" i="3"/>
  <c r="D175" i="3"/>
  <c r="E175" i="3"/>
  <c r="D176" i="3"/>
  <c r="E176" i="3"/>
  <c r="D177" i="3"/>
  <c r="E177" i="3"/>
  <c r="D178" i="3"/>
  <c r="E178" i="3"/>
  <c r="D179" i="3"/>
  <c r="E179" i="3"/>
  <c r="D180" i="3"/>
  <c r="E180" i="3"/>
  <c r="D181" i="3"/>
  <c r="E181" i="3"/>
  <c r="D182" i="3"/>
  <c r="E182" i="3"/>
  <c r="D183" i="3"/>
  <c r="E183" i="3"/>
  <c r="D184" i="3"/>
  <c r="E184" i="3"/>
  <c r="D185" i="3"/>
  <c r="E185" i="3"/>
  <c r="D186" i="3"/>
  <c r="E186" i="3"/>
  <c r="D187" i="3"/>
  <c r="E187" i="3"/>
  <c r="D188" i="3"/>
  <c r="E188" i="3"/>
  <c r="D189" i="3"/>
  <c r="E189" i="3"/>
  <c r="D190" i="3"/>
  <c r="E190" i="3"/>
  <c r="D191" i="3"/>
  <c r="E191" i="3"/>
  <c r="D192" i="3"/>
  <c r="E192" i="3"/>
  <c r="D193" i="3"/>
  <c r="E193" i="3"/>
  <c r="D194" i="3"/>
  <c r="E194" i="3"/>
  <c r="D195" i="3"/>
  <c r="E195" i="3"/>
  <c r="D196" i="3"/>
  <c r="E196" i="3"/>
  <c r="D197" i="3"/>
  <c r="E197" i="3"/>
  <c r="D198" i="3"/>
  <c r="E198" i="3"/>
  <c r="D199" i="3"/>
  <c r="E199" i="3"/>
  <c r="D200" i="3"/>
  <c r="E200" i="3"/>
  <c r="D201" i="3"/>
  <c r="E201" i="3"/>
  <c r="D202" i="3"/>
  <c r="E202" i="3"/>
  <c r="D203" i="3"/>
  <c r="E203" i="3"/>
  <c r="D204" i="3"/>
  <c r="E204" i="3"/>
  <c r="D205" i="3"/>
  <c r="E205" i="3"/>
  <c r="D206" i="3"/>
  <c r="E206" i="3"/>
  <c r="D207" i="3"/>
  <c r="E207" i="3"/>
  <c r="D208" i="3"/>
  <c r="E208" i="3"/>
  <c r="D209" i="3"/>
  <c r="E209" i="3"/>
  <c r="D210" i="3"/>
  <c r="E210" i="3"/>
  <c r="D211" i="3"/>
  <c r="E211" i="3"/>
  <c r="D212" i="3"/>
  <c r="E212" i="3"/>
  <c r="D213" i="3"/>
  <c r="E213" i="3"/>
  <c r="D214" i="3"/>
  <c r="E214" i="3"/>
  <c r="D215" i="3"/>
  <c r="E215" i="3"/>
  <c r="D216" i="3"/>
  <c r="E216" i="3"/>
  <c r="D217" i="3"/>
  <c r="E217" i="3"/>
  <c r="D218" i="3"/>
  <c r="E218" i="3"/>
  <c r="D219" i="3"/>
  <c r="E219" i="3"/>
  <c r="D220" i="3"/>
  <c r="E220" i="3"/>
  <c r="D221" i="3"/>
  <c r="E221" i="3"/>
  <c r="D222" i="3"/>
  <c r="E222" i="3"/>
  <c r="D223" i="3"/>
  <c r="E223" i="3"/>
  <c r="D224" i="3"/>
  <c r="E224" i="3"/>
  <c r="D225" i="3"/>
  <c r="E225" i="3"/>
  <c r="D226" i="3"/>
  <c r="E226" i="3"/>
  <c r="D227" i="3"/>
  <c r="E227" i="3"/>
  <c r="D228" i="3"/>
  <c r="E228" i="3"/>
  <c r="D229" i="3"/>
  <c r="E229" i="3"/>
  <c r="D230" i="3"/>
  <c r="E230" i="3"/>
  <c r="D231" i="3"/>
  <c r="E231" i="3"/>
  <c r="D232" i="3"/>
  <c r="E232" i="3"/>
  <c r="D233" i="3"/>
  <c r="E233" i="3"/>
  <c r="D234" i="3"/>
  <c r="E234" i="3"/>
  <c r="D235" i="3"/>
  <c r="E235" i="3"/>
  <c r="D236" i="3"/>
  <c r="E236" i="3"/>
  <c r="D237" i="3"/>
  <c r="E237" i="3"/>
  <c r="D238" i="3"/>
  <c r="E238" i="3"/>
  <c r="D239" i="3"/>
  <c r="E239" i="3"/>
  <c r="D240" i="3"/>
  <c r="E240" i="3"/>
  <c r="D241" i="3"/>
  <c r="E241" i="3"/>
  <c r="D242" i="3"/>
  <c r="E242" i="3"/>
  <c r="D243" i="3"/>
  <c r="E243" i="3"/>
  <c r="D244" i="3"/>
  <c r="E244" i="3"/>
  <c r="D245" i="3"/>
  <c r="E245" i="3"/>
  <c r="D246" i="3"/>
  <c r="E246" i="3"/>
  <c r="D247" i="3"/>
  <c r="E247" i="3"/>
  <c r="D248" i="3"/>
  <c r="E248" i="3"/>
  <c r="D249" i="3"/>
  <c r="E249" i="3"/>
  <c r="D250" i="3"/>
  <c r="E250" i="3"/>
  <c r="D251" i="3"/>
  <c r="E251" i="3"/>
  <c r="D252" i="3"/>
  <c r="E252" i="3"/>
  <c r="E7" i="3"/>
  <c r="D7" i="1"/>
  <c r="E202" i="1"/>
  <c r="D202" i="1"/>
  <c r="E211" i="1"/>
  <c r="D211" i="1"/>
  <c r="D8" i="1"/>
  <c r="E8" i="1"/>
  <c r="D9" i="1"/>
  <c r="E9" i="1"/>
  <c r="D10" i="1"/>
  <c r="E10" i="1"/>
  <c r="D11" i="1"/>
  <c r="E11" i="1"/>
  <c r="D12" i="1"/>
  <c r="E12" i="1"/>
  <c r="D13" i="1"/>
  <c r="E13" i="1"/>
  <c r="D14" i="1"/>
  <c r="E14" i="1"/>
  <c r="D15" i="1"/>
  <c r="E15" i="1"/>
  <c r="D16" i="1"/>
  <c r="E16" i="1"/>
  <c r="D17" i="1"/>
  <c r="E17" i="1"/>
  <c r="D18" i="1"/>
  <c r="E18" i="1"/>
  <c r="D19" i="1"/>
  <c r="E19" i="1"/>
  <c r="D20" i="1"/>
  <c r="E20" i="1"/>
  <c r="D21" i="1"/>
  <c r="E21" i="1"/>
  <c r="D22" i="1"/>
  <c r="E22" i="1"/>
  <c r="D23" i="1"/>
  <c r="E23" i="1"/>
  <c r="D24" i="1"/>
  <c r="E24" i="1"/>
  <c r="D25" i="1"/>
  <c r="E25" i="1"/>
  <c r="D26" i="1"/>
  <c r="E26" i="1"/>
  <c r="D27" i="1"/>
  <c r="E27" i="1"/>
  <c r="D28" i="1"/>
  <c r="E28" i="1"/>
  <c r="D29" i="1"/>
  <c r="E29" i="1"/>
  <c r="D30" i="1"/>
  <c r="E30" i="1"/>
  <c r="D31" i="1"/>
  <c r="E31" i="1"/>
  <c r="D32" i="1"/>
  <c r="E32" i="1"/>
  <c r="D33" i="1"/>
  <c r="E33" i="1"/>
  <c r="D34" i="1"/>
  <c r="E34" i="1"/>
  <c r="D35" i="1"/>
  <c r="E35" i="1"/>
  <c r="D36" i="1"/>
  <c r="E36" i="1"/>
  <c r="D37" i="1"/>
  <c r="E37" i="1"/>
  <c r="D38" i="1"/>
  <c r="E38" i="1"/>
  <c r="D39" i="1"/>
  <c r="E39" i="1"/>
  <c r="D40" i="1"/>
  <c r="E40" i="1"/>
  <c r="D41" i="1"/>
  <c r="E41" i="1"/>
  <c r="D42" i="1"/>
  <c r="E42" i="1"/>
  <c r="D43" i="1"/>
  <c r="E43" i="1"/>
  <c r="D44" i="1"/>
  <c r="E44" i="1"/>
  <c r="D45" i="1"/>
  <c r="E45" i="1"/>
  <c r="D46" i="1"/>
  <c r="E46" i="1"/>
  <c r="D47" i="1"/>
  <c r="E47" i="1"/>
  <c r="D48" i="1"/>
  <c r="E48" i="1"/>
  <c r="D49" i="1"/>
  <c r="E49" i="1"/>
  <c r="D50" i="1"/>
  <c r="E50" i="1"/>
  <c r="D51" i="1"/>
  <c r="E51" i="1"/>
  <c r="D52" i="1"/>
  <c r="E52" i="1"/>
  <c r="D53" i="1"/>
  <c r="E53" i="1"/>
  <c r="D54" i="1"/>
  <c r="E54" i="1"/>
  <c r="D55" i="1"/>
  <c r="E55" i="1"/>
  <c r="D56" i="1"/>
  <c r="E56" i="1"/>
  <c r="D57" i="1"/>
  <c r="E57" i="1"/>
  <c r="D58" i="1"/>
  <c r="E58" i="1"/>
  <c r="D59" i="1"/>
  <c r="E59" i="1"/>
  <c r="D60" i="1"/>
  <c r="E60" i="1"/>
  <c r="D61" i="1"/>
  <c r="E61" i="1"/>
  <c r="D62" i="1"/>
  <c r="E62" i="1"/>
  <c r="D63" i="1"/>
  <c r="E63" i="1"/>
  <c r="D64" i="1"/>
  <c r="E64" i="1"/>
  <c r="D65" i="1"/>
  <c r="E65" i="1"/>
  <c r="D66" i="1"/>
  <c r="E66" i="1"/>
  <c r="D67" i="1"/>
  <c r="E67" i="1"/>
  <c r="D68" i="1"/>
  <c r="E68" i="1"/>
  <c r="D69" i="1"/>
  <c r="E69" i="1"/>
  <c r="D70" i="1"/>
  <c r="E70" i="1"/>
  <c r="D71" i="1"/>
  <c r="E71" i="1"/>
  <c r="D72" i="1"/>
  <c r="E72" i="1"/>
  <c r="D73" i="1"/>
  <c r="E73" i="1"/>
  <c r="D74" i="1"/>
  <c r="E74" i="1"/>
  <c r="D75" i="1"/>
  <c r="E75" i="1"/>
  <c r="D76" i="1"/>
  <c r="E76" i="1"/>
  <c r="D77" i="1"/>
  <c r="E77" i="1"/>
  <c r="D78" i="1"/>
  <c r="E78" i="1"/>
  <c r="D79" i="1"/>
  <c r="E79" i="1"/>
  <c r="D80" i="1"/>
  <c r="E80" i="1"/>
  <c r="D81" i="1"/>
  <c r="E81" i="1"/>
  <c r="D82" i="1"/>
  <c r="E82" i="1"/>
  <c r="D83" i="1"/>
  <c r="E83" i="1"/>
  <c r="D84" i="1"/>
  <c r="E84" i="1"/>
  <c r="D85" i="1"/>
  <c r="E85" i="1"/>
  <c r="D86" i="1"/>
  <c r="E86" i="1"/>
  <c r="D87" i="1"/>
  <c r="E87" i="1"/>
  <c r="D88" i="1"/>
  <c r="E88" i="1"/>
  <c r="D89" i="1"/>
  <c r="E89" i="1"/>
  <c r="D90" i="1"/>
  <c r="E90" i="1"/>
  <c r="D91" i="1"/>
  <c r="E91" i="1"/>
  <c r="D92" i="1"/>
  <c r="E92" i="1"/>
  <c r="D93" i="1"/>
  <c r="E93" i="1"/>
  <c r="D94" i="1"/>
  <c r="E94" i="1"/>
  <c r="D95" i="1"/>
  <c r="E95" i="1"/>
  <c r="D96" i="1"/>
  <c r="E96" i="1"/>
  <c r="D97" i="1"/>
  <c r="E97" i="1"/>
  <c r="D98" i="1"/>
  <c r="E98" i="1"/>
  <c r="D99" i="1"/>
  <c r="E99" i="1"/>
  <c r="D100" i="1"/>
  <c r="E100" i="1"/>
  <c r="D101" i="1"/>
  <c r="E101" i="1"/>
  <c r="D102" i="1"/>
  <c r="E102" i="1"/>
  <c r="D103" i="1"/>
  <c r="E103" i="1"/>
  <c r="D104" i="1"/>
  <c r="E104" i="1"/>
  <c r="D105" i="1"/>
  <c r="E105" i="1"/>
  <c r="D106" i="1"/>
  <c r="E106" i="1"/>
  <c r="D107" i="1"/>
  <c r="E107" i="1"/>
  <c r="D108" i="1"/>
  <c r="E108" i="1"/>
  <c r="D109" i="1"/>
  <c r="E109" i="1"/>
  <c r="D110" i="1"/>
  <c r="E110" i="1"/>
  <c r="D111" i="1"/>
  <c r="E111" i="1"/>
  <c r="D112" i="1"/>
  <c r="E112" i="1"/>
  <c r="D113" i="1"/>
  <c r="E113" i="1"/>
  <c r="D114" i="1"/>
  <c r="E114" i="1"/>
  <c r="D115" i="1"/>
  <c r="E115" i="1"/>
  <c r="D116" i="1"/>
  <c r="E116" i="1"/>
  <c r="D117" i="1"/>
  <c r="E117" i="1"/>
  <c r="D118" i="1"/>
  <c r="E118" i="1"/>
  <c r="D119" i="1"/>
  <c r="E119" i="1"/>
  <c r="D120" i="1"/>
  <c r="E120" i="1"/>
  <c r="D121" i="1"/>
  <c r="E121" i="1"/>
  <c r="D122" i="1"/>
  <c r="E122" i="1"/>
  <c r="D123" i="1"/>
  <c r="E123" i="1"/>
  <c r="D124" i="1"/>
  <c r="E124" i="1"/>
  <c r="D125" i="1"/>
  <c r="E125" i="1"/>
  <c r="D126" i="1"/>
  <c r="E126" i="1"/>
  <c r="D127" i="1"/>
  <c r="E127" i="1"/>
  <c r="D128" i="1"/>
  <c r="E128" i="1"/>
  <c r="D129" i="1"/>
  <c r="E129" i="1"/>
  <c r="D130" i="1"/>
  <c r="E130" i="1"/>
  <c r="D131" i="1"/>
  <c r="E131" i="1"/>
  <c r="D132" i="1"/>
  <c r="E132" i="1"/>
  <c r="D133" i="1"/>
  <c r="E133" i="1"/>
  <c r="D134" i="1"/>
  <c r="E134" i="1"/>
  <c r="D135" i="1"/>
  <c r="E135" i="1"/>
  <c r="D136" i="1"/>
  <c r="E136" i="1"/>
  <c r="D137" i="1"/>
  <c r="E137" i="1"/>
  <c r="D138" i="1"/>
  <c r="E138" i="1"/>
  <c r="D139" i="1"/>
  <c r="E139" i="1"/>
  <c r="D140" i="1"/>
  <c r="E140" i="1"/>
  <c r="D141" i="1"/>
  <c r="E141" i="1"/>
  <c r="D142" i="1"/>
  <c r="E142" i="1"/>
  <c r="D143" i="1"/>
  <c r="E143" i="1"/>
  <c r="D144" i="1"/>
  <c r="E144" i="1"/>
  <c r="D145" i="1"/>
  <c r="E145" i="1"/>
  <c r="D146" i="1"/>
  <c r="E146" i="1"/>
  <c r="D147" i="1"/>
  <c r="E147" i="1"/>
  <c r="D148" i="1"/>
  <c r="E148" i="1"/>
  <c r="D149" i="1"/>
  <c r="E149" i="1"/>
  <c r="D150" i="1"/>
  <c r="E150" i="1"/>
  <c r="D151" i="1"/>
  <c r="E151" i="1"/>
  <c r="D152" i="1"/>
  <c r="E152" i="1"/>
  <c r="D153" i="1"/>
  <c r="E153" i="1"/>
  <c r="D154" i="1"/>
  <c r="E154" i="1"/>
  <c r="D155" i="1"/>
  <c r="E155" i="1"/>
  <c r="D156" i="1"/>
  <c r="E156" i="1"/>
  <c r="D157" i="1"/>
  <c r="E157" i="1"/>
  <c r="D158" i="1"/>
  <c r="E158" i="1"/>
  <c r="D159" i="1"/>
  <c r="E159" i="1"/>
  <c r="D160" i="1"/>
  <c r="E160" i="1"/>
  <c r="D161" i="1"/>
  <c r="E161" i="1"/>
  <c r="D162" i="1"/>
  <c r="E162" i="1"/>
  <c r="D163" i="1"/>
  <c r="E163" i="1"/>
  <c r="D164" i="1"/>
  <c r="E164" i="1"/>
  <c r="D165" i="1"/>
  <c r="E165" i="1"/>
  <c r="D166" i="1"/>
  <c r="E166" i="1"/>
  <c r="D167" i="1"/>
  <c r="E167" i="1"/>
  <c r="D168" i="1"/>
  <c r="E168" i="1"/>
  <c r="D169" i="1"/>
  <c r="E169" i="1"/>
  <c r="D170" i="1"/>
  <c r="E170" i="1"/>
  <c r="D171" i="1"/>
  <c r="E171" i="1"/>
  <c r="D172" i="1"/>
  <c r="E172" i="1"/>
  <c r="D173" i="1"/>
  <c r="E173" i="1"/>
  <c r="D174" i="1"/>
  <c r="E174" i="1"/>
  <c r="D175" i="1"/>
  <c r="E175" i="1"/>
  <c r="D176" i="1"/>
  <c r="E176" i="1"/>
  <c r="D177" i="1"/>
  <c r="E177" i="1"/>
  <c r="D178" i="1"/>
  <c r="E178" i="1"/>
  <c r="D179" i="1"/>
  <c r="E179" i="1"/>
  <c r="D180" i="1"/>
  <c r="E180" i="1"/>
  <c r="D181" i="1"/>
  <c r="E181" i="1"/>
  <c r="D182" i="1"/>
  <c r="E182" i="1"/>
  <c r="D183" i="1"/>
  <c r="E183" i="1"/>
  <c r="D184" i="1"/>
  <c r="E184" i="1"/>
  <c r="D185" i="1"/>
  <c r="E185" i="1"/>
  <c r="D186" i="1"/>
  <c r="E186" i="1"/>
  <c r="D187" i="1"/>
  <c r="E187" i="1"/>
  <c r="D188" i="1"/>
  <c r="E188" i="1"/>
  <c r="D189" i="1"/>
  <c r="E189" i="1"/>
  <c r="D190" i="1"/>
  <c r="E190" i="1"/>
  <c r="D191" i="1"/>
  <c r="E191" i="1"/>
  <c r="D192" i="1"/>
  <c r="E192" i="1"/>
  <c r="D193" i="1"/>
  <c r="E193" i="1"/>
  <c r="D194" i="1"/>
  <c r="E194" i="1"/>
  <c r="D195" i="1"/>
  <c r="E195" i="1"/>
  <c r="D196" i="1"/>
  <c r="E196" i="1"/>
  <c r="D197" i="1"/>
  <c r="E197" i="1"/>
  <c r="D198" i="1"/>
  <c r="E198" i="1"/>
  <c r="D199" i="1"/>
  <c r="E199" i="1"/>
  <c r="D200" i="1"/>
  <c r="E200" i="1"/>
  <c r="D201" i="1"/>
  <c r="E201" i="1"/>
  <c r="D203" i="1"/>
  <c r="E203" i="1"/>
  <c r="D204" i="1"/>
  <c r="E204" i="1"/>
  <c r="D205" i="1"/>
  <c r="E205" i="1"/>
  <c r="D206" i="1"/>
  <c r="E206" i="1"/>
  <c r="D207" i="1"/>
  <c r="E207" i="1"/>
  <c r="D208" i="1"/>
  <c r="E208" i="1"/>
  <c r="D209" i="1"/>
  <c r="E209" i="1"/>
  <c r="D210" i="1"/>
  <c r="E210" i="1"/>
  <c r="D212" i="1"/>
  <c r="E212" i="1"/>
  <c r="D213" i="1"/>
  <c r="E213" i="1"/>
  <c r="D214" i="1"/>
  <c r="E214" i="1"/>
  <c r="D215" i="1"/>
  <c r="E215" i="1"/>
  <c r="D216" i="1"/>
  <c r="E216" i="1"/>
  <c r="D217" i="1"/>
  <c r="E217" i="1"/>
  <c r="D218" i="1"/>
  <c r="E218" i="1"/>
  <c r="D219" i="1"/>
  <c r="E219" i="1"/>
  <c r="D220" i="1"/>
  <c r="E220" i="1"/>
  <c r="D221" i="1"/>
  <c r="E221" i="1"/>
  <c r="D222" i="1"/>
  <c r="E222" i="1"/>
  <c r="D223" i="1"/>
  <c r="E223" i="1"/>
  <c r="D224" i="1"/>
  <c r="E224" i="1"/>
  <c r="D225" i="1"/>
  <c r="E225" i="1"/>
  <c r="D226" i="1"/>
  <c r="E226" i="1"/>
  <c r="D227" i="1"/>
  <c r="E227" i="1"/>
  <c r="D228" i="1"/>
  <c r="E228" i="1"/>
  <c r="D229" i="1"/>
  <c r="E229" i="1"/>
  <c r="D230" i="1"/>
  <c r="E230" i="1"/>
  <c r="D231" i="1"/>
  <c r="E231" i="1"/>
  <c r="D232" i="1"/>
  <c r="E232" i="1"/>
  <c r="D233" i="1"/>
  <c r="E233" i="1"/>
  <c r="D234" i="1"/>
  <c r="E234" i="1"/>
  <c r="D235" i="1"/>
  <c r="E235" i="1"/>
  <c r="D236" i="1"/>
  <c r="E236" i="1"/>
  <c r="D237" i="1"/>
  <c r="E237" i="1"/>
  <c r="D238" i="1"/>
  <c r="E238" i="1"/>
  <c r="D239" i="1"/>
  <c r="E239" i="1"/>
  <c r="D240" i="1"/>
  <c r="E240" i="1"/>
  <c r="D241" i="1"/>
  <c r="E241" i="1"/>
  <c r="D242" i="1"/>
  <c r="E242" i="1"/>
  <c r="D243" i="1"/>
  <c r="E243" i="1"/>
  <c r="D244" i="1"/>
  <c r="E244" i="1"/>
  <c r="D245" i="1"/>
  <c r="E245" i="1"/>
  <c r="D246" i="1"/>
  <c r="E246" i="1"/>
  <c r="D247" i="1"/>
  <c r="E247" i="1"/>
  <c r="D248" i="1"/>
  <c r="E248" i="1"/>
  <c r="D249" i="1"/>
  <c r="E249" i="1"/>
  <c r="D250" i="1"/>
  <c r="E250" i="1"/>
  <c r="D251" i="1"/>
  <c r="E251" i="1"/>
  <c r="D252" i="1"/>
  <c r="E252" i="1"/>
  <c r="E7" i="1"/>
  <c r="L17" i="11"/>
  <c r="L17" i="8"/>
  <c r="L28" i="12"/>
  <c r="L14" i="13"/>
  <c r="L20" i="12"/>
  <c r="L13" i="10"/>
  <c r="L19" i="13"/>
  <c r="L16" i="13"/>
  <c r="L18" i="12"/>
  <c r="L18" i="8"/>
  <c r="L13" i="8"/>
  <c r="L29" i="12"/>
  <c r="L18" i="10"/>
  <c r="L22" i="13"/>
  <c r="L22" i="9"/>
  <c r="L25" i="11"/>
  <c r="L18" i="11"/>
  <c r="L19" i="8"/>
  <c r="L28" i="13"/>
  <c r="L20" i="10"/>
  <c r="L15" i="10"/>
  <c r="L13" i="12"/>
  <c r="L18" i="13"/>
  <c r="L25" i="13"/>
  <c r="L15" i="13"/>
  <c r="L26" i="8"/>
  <c r="L14" i="8"/>
  <c r="L19" i="9"/>
  <c r="L22" i="11"/>
  <c r="L16" i="9"/>
  <c r="L14" i="11"/>
  <c r="L26" i="12"/>
  <c r="L27" i="13"/>
  <c r="L21" i="9"/>
  <c r="L19" i="11"/>
  <c r="L13" i="13"/>
  <c r="L25" i="10"/>
  <c r="L15" i="11"/>
  <c r="L27" i="11"/>
  <c r="L26" i="10"/>
  <c r="L21" i="11"/>
  <c r="L28" i="9"/>
  <c r="L17" i="9"/>
  <c r="L20" i="11"/>
  <c r="L15" i="9"/>
  <c r="L22" i="8"/>
  <c r="L27" i="9"/>
  <c r="L27" i="12"/>
  <c r="L15" i="8"/>
  <c r="L28" i="11"/>
  <c r="L21" i="12"/>
  <c r="L14" i="12"/>
  <c r="L26" i="11"/>
  <c r="L25" i="8"/>
  <c r="L18" i="9"/>
  <c r="L15" i="12"/>
  <c r="L29" i="11"/>
  <c r="L16" i="8"/>
  <c r="L27" i="8"/>
  <c r="L13" i="11"/>
  <c r="L28" i="8"/>
  <c r="L17" i="13"/>
  <c r="L20" i="9"/>
  <c r="L29" i="8"/>
  <c r="L13" i="9"/>
  <c r="L29" i="13"/>
  <c r="L16" i="10"/>
  <c r="L19" i="10"/>
  <c r="L21" i="13"/>
  <c r="L25" i="9"/>
  <c r="L22" i="10"/>
  <c r="L27" i="10"/>
  <c r="L21" i="8"/>
  <c r="L17" i="10"/>
  <c r="L26" i="13"/>
  <c r="L16" i="11"/>
  <c r="L22" i="12"/>
  <c r="L14" i="9"/>
  <c r="L19" i="12"/>
  <c r="L16" i="12"/>
  <c r="L21" i="10"/>
  <c r="L14" i="10"/>
  <c r="L26" i="9"/>
  <c r="L28" i="10"/>
  <c r="L25" i="12"/>
  <c r="L20" i="13"/>
  <c r="L29" i="9"/>
  <c r="L20" i="8"/>
  <c r="L29" i="10"/>
  <c r="K16" i="13" l="1"/>
  <c r="D8" i="14" s="1"/>
  <c r="K16" i="12"/>
  <c r="D7" i="14" s="1"/>
  <c r="K16" i="11"/>
  <c r="D6" i="14" s="1"/>
  <c r="K16" i="10"/>
  <c r="D5" i="14" s="1"/>
  <c r="K27" i="8"/>
  <c r="K14" i="8" s="1"/>
  <c r="B3" i="14" s="1"/>
  <c r="K21" i="8"/>
  <c r="K20" i="8"/>
  <c r="K16" i="9"/>
  <c r="D4" i="14" s="1"/>
  <c r="K21" i="13"/>
  <c r="K20" i="13"/>
  <c r="K21" i="12"/>
  <c r="K20" i="12"/>
  <c r="K21" i="11"/>
  <c r="K20" i="11"/>
  <c r="K21" i="10"/>
  <c r="K20" i="10"/>
  <c r="K21" i="9"/>
  <c r="K20" i="9"/>
  <c r="H10" i="6"/>
  <c r="H10" i="2"/>
  <c r="H7" i="2"/>
  <c r="H10" i="1"/>
  <c r="H7" i="6"/>
  <c r="H10" i="5"/>
  <c r="H7" i="5"/>
  <c r="K31" i="12" s="1"/>
  <c r="K18" i="12" s="1"/>
  <c r="H7" i="4"/>
  <c r="K31" i="11" s="1"/>
  <c r="K18" i="11" s="1"/>
  <c r="H10" i="4"/>
  <c r="H10" i="3"/>
  <c r="H7" i="3"/>
  <c r="K31" i="10" s="1"/>
  <c r="K18" i="10" s="1"/>
  <c r="H7" i="1"/>
  <c r="K31" i="8" s="1"/>
  <c r="K18" i="8" l="1"/>
  <c r="K22" i="8" s="1"/>
  <c r="E3" i="14" s="1"/>
  <c r="K16" i="8"/>
  <c r="D3" i="14" s="1"/>
  <c r="K22" i="13"/>
  <c r="E8" i="14" s="1"/>
  <c r="K22" i="12"/>
  <c r="E7" i="14" s="1"/>
  <c r="K22" i="11"/>
  <c r="E6" i="14" s="1"/>
  <c r="K22" i="10"/>
  <c r="E5" i="14" s="1"/>
  <c r="K22" i="9"/>
  <c r="E4" i="14" s="1"/>
</calcChain>
</file>

<file path=xl/sharedStrings.xml><?xml version="1.0" encoding="utf-8"?>
<sst xmlns="http://schemas.openxmlformats.org/spreadsheetml/2006/main" count="1465" uniqueCount="208">
  <si>
    <t>SUNPHARMA.NS</t>
  </si>
  <si>
    <t>Price</t>
  </si>
  <si>
    <t>Close</t>
  </si>
  <si>
    <t>Return</t>
  </si>
  <si>
    <t>Covariance(Market/company)</t>
  </si>
  <si>
    <t>Variance (Market)</t>
  </si>
  <si>
    <t>Ticker</t>
  </si>
  <si>
    <t>^CNXPHARMA</t>
  </si>
  <si>
    <t>Nifty</t>
  </si>
  <si>
    <t>Company</t>
  </si>
  <si>
    <t>Date</t>
  </si>
  <si>
    <t>Beta</t>
  </si>
  <si>
    <t xml:space="preserve">Market Return </t>
  </si>
  <si>
    <t>Sun Pharmaceutical Industries</t>
  </si>
  <si>
    <t>Balance Sheet of Sun Pharmaceutical Industries (in Rs. Cr.)</t>
  </si>
  <si>
    <t>Profit &amp; Loss account of Sun Pharmaceutical Industries (in Rs. Cr.)</t>
  </si>
  <si>
    <t xml:space="preserve"> </t>
  </si>
  <si>
    <t>12 mths</t>
  </si>
  <si>
    <t>EQUITIES AND LIABILITIES</t>
  </si>
  <si>
    <t> </t>
  </si>
  <si>
    <t>INCOME</t>
  </si>
  <si>
    <t>SHAREHOLDER'S FUNDS</t>
  </si>
  <si>
    <t>Revenue From Operations [Gross]</t>
  </si>
  <si>
    <t>Equity Share Capital</t>
  </si>
  <si>
    <t>Less: Excise/Sevice Tax/Other Levies</t>
  </si>
  <si>
    <t>Total Share Capital</t>
  </si>
  <si>
    <t>Revenue From Operations [Net]</t>
  </si>
  <si>
    <t>Reserves and Surplus</t>
  </si>
  <si>
    <t>Total Operating Revenues</t>
  </si>
  <si>
    <t>Total Reserves and Surplus</t>
  </si>
  <si>
    <t>Other Income</t>
  </si>
  <si>
    <t>Total Shareholders Funds</t>
  </si>
  <si>
    <t>Total Revenue</t>
  </si>
  <si>
    <t>Minority Interest</t>
  </si>
  <si>
    <t>EXPENSES</t>
  </si>
  <si>
    <t>Total Debt</t>
  </si>
  <si>
    <t>= Longterm borrowings + shortterm borrowings</t>
  </si>
  <si>
    <t>NON-CURRENT LIABILITIES</t>
  </si>
  <si>
    <t>Cost Of Materials Consumed</t>
  </si>
  <si>
    <t>DOL</t>
  </si>
  <si>
    <t>=Contribution/EBIT</t>
  </si>
  <si>
    <t>Long Term Borrowings</t>
  </si>
  <si>
    <t>Purchase Of Stock-In Trade</t>
  </si>
  <si>
    <t>DFL</t>
  </si>
  <si>
    <t>=EBIT/EBT</t>
  </si>
  <si>
    <t>Deferred Tax Liabilities [Net]</t>
  </si>
  <si>
    <t>Operating And Direct Expenses</t>
  </si>
  <si>
    <t>DTL</t>
  </si>
  <si>
    <t>=DOL * DFL</t>
  </si>
  <si>
    <t>Other Long Term Liabilities</t>
  </si>
  <si>
    <t>Changes In Inventories Of FGWIP And Stock In Trade</t>
  </si>
  <si>
    <t>Cost of Debt (Rd)</t>
  </si>
  <si>
    <t>=Interest/Total Debt</t>
  </si>
  <si>
    <t>Long Term Provisions</t>
  </si>
  <si>
    <t>Employee Benefit Expenses</t>
  </si>
  <si>
    <t>Cost of Equity (Re)</t>
  </si>
  <si>
    <t>= RF + Beta(Rm-Rf)</t>
  </si>
  <si>
    <t>Total Non-Current Liabilities</t>
  </si>
  <si>
    <t>Finance Costs</t>
  </si>
  <si>
    <t>Tax Rate</t>
  </si>
  <si>
    <t>=Tax/EBT</t>
  </si>
  <si>
    <t>CURRENT LIABILITIES</t>
  </si>
  <si>
    <t>Depreciation And Amortisation Expenses</t>
  </si>
  <si>
    <t>Weight of Debt</t>
  </si>
  <si>
    <t>=Debt/(Debt+Equity)</t>
  </si>
  <si>
    <t>Short Term Borrowings</t>
  </si>
  <si>
    <t>Other Expenses</t>
  </si>
  <si>
    <t>Weight of Equity</t>
  </si>
  <si>
    <t>=Equity/(Debt+Equity)</t>
  </si>
  <si>
    <t>Trade Payables</t>
  </si>
  <si>
    <t>Total Expenses</t>
  </si>
  <si>
    <t>WACC</t>
  </si>
  <si>
    <t>=(Equity Weight×Cost of Equity)+(Debt Weight×Cost of Debt)</t>
  </si>
  <si>
    <t>Other Current Liabilities</t>
  </si>
  <si>
    <t>Profit/Loss Before Exceptional, ExtraOrdinary Items And Tax</t>
  </si>
  <si>
    <t>Short Term Provisions</t>
  </si>
  <si>
    <t>Exceptional Items</t>
  </si>
  <si>
    <t>Total Current Liabilities</t>
  </si>
  <si>
    <t>Profit/Loss Before Tax</t>
  </si>
  <si>
    <t>Sale</t>
  </si>
  <si>
    <t>= Revenue From Operations [Net]</t>
  </si>
  <si>
    <t>Total Capital And Liabilities</t>
  </si>
  <si>
    <t>Tax Expenses-Continued Operations</t>
  </si>
  <si>
    <t>Variable Cost</t>
  </si>
  <si>
    <t xml:space="preserve">= Cost Of Materials Consumed + Purchase Of Stock-In Trade + Changes In Inventories </t>
  </si>
  <si>
    <t>ASSETS</t>
  </si>
  <si>
    <t>Current Tax</t>
  </si>
  <si>
    <t>Contribution</t>
  </si>
  <si>
    <t>= Contribution =Sales - Variable cost</t>
  </si>
  <si>
    <t>NON-CURRENT ASSETS</t>
  </si>
  <si>
    <t>Less: MAT Credit Entitlement</t>
  </si>
  <si>
    <t>EBIT</t>
  </si>
  <si>
    <t>= Profit/Loss Before Tax + Finance Costs</t>
  </si>
  <si>
    <t>Tangible Assets</t>
  </si>
  <si>
    <t>Deferred Tax</t>
  </si>
  <si>
    <t>EBT</t>
  </si>
  <si>
    <t>= Profit/Loss Before Tax</t>
  </si>
  <si>
    <t>Intangible Assets</t>
  </si>
  <si>
    <t>Other Direct Taxes</t>
  </si>
  <si>
    <t>Capital Work-In-Progress</t>
  </si>
  <si>
    <t>Total Tax Expenses</t>
  </si>
  <si>
    <t>Fixed Assets</t>
  </si>
  <si>
    <t>Profit/Loss After Tax And Before ExtraOrdinary Items</t>
  </si>
  <si>
    <t>Market return (Rm)</t>
  </si>
  <si>
    <t>Non-Current Investments</t>
  </si>
  <si>
    <t>Profit/Loss From Continuing Operations</t>
  </si>
  <si>
    <t>Risk Free Rate (Rf)</t>
  </si>
  <si>
    <t>=6.7/100</t>
  </si>
  <si>
    <t xml:space="preserve">= It is Standard </t>
  </si>
  <si>
    <t>Deferred Tax Assets [Net]</t>
  </si>
  <si>
    <t>Profit/Loss For The Period</t>
  </si>
  <si>
    <t>Long Term Loans And Advances</t>
  </si>
  <si>
    <t>Other Non-Current Assets</t>
  </si>
  <si>
    <t>Consolidated Profit/Loss After MI And Associates</t>
  </si>
  <si>
    <t>Total Non-Current Assets</t>
  </si>
  <si>
    <t>OTHER ADDITIONAL INFORMATION</t>
  </si>
  <si>
    <t>CURRENT ASSETS</t>
  </si>
  <si>
    <t>EARNINGS PER SHARE</t>
  </si>
  <si>
    <t>Current Investments</t>
  </si>
  <si>
    <t>Basic EPS (Rs.)</t>
  </si>
  <si>
    <t>Inventories</t>
  </si>
  <si>
    <t>Diluted EPS (Rs.)</t>
  </si>
  <si>
    <t>Trade Receivables</t>
  </si>
  <si>
    <t>DIVIDEND AND DIVIDEND PERCENTAGE</t>
  </si>
  <si>
    <t>Cash And Cash Equivalents</t>
  </si>
  <si>
    <t>Equity Share Dividend</t>
  </si>
  <si>
    <t>Short Term Loans And Advances</t>
  </si>
  <si>
    <t>Tax On Dividend</t>
  </si>
  <si>
    <t>OtherCurrentAssets</t>
  </si>
  <si>
    <t>Total Current Assets</t>
  </si>
  <si>
    <t>Total Assets</t>
  </si>
  <si>
    <t>CONTINGENT LIABILITIES, COMMITMENTS</t>
  </si>
  <si>
    <t>Contingent Liabilities</t>
  </si>
  <si>
    <t>BONUS DETAILS</t>
  </si>
  <si>
    <t>Bonus Equity Share Capital</t>
  </si>
  <si>
    <t>NON-CURRENT INVESTMENTS</t>
  </si>
  <si>
    <t>Non-Current Investments Quoted Market Value</t>
  </si>
  <si>
    <t>Non-Current Investments Unquoted Book Value</t>
  </si>
  <si>
    <t>CURRENT INVESTMENTS</t>
  </si>
  <si>
    <t>Current Investments Quoted Market Value</t>
  </si>
  <si>
    <t>Current Investments Unquoted Book Value</t>
  </si>
  <si>
    <t>CIPLA.NS</t>
  </si>
  <si>
    <t>Covarience(Market/company)</t>
  </si>
  <si>
    <t>Varience (Market)</t>
  </si>
  <si>
    <t>CIPLA</t>
  </si>
  <si>
    <t>Balance Sheet of Cipla (in Rs. Cr.)</t>
  </si>
  <si>
    <t>Profit &amp; Loss account of Cipla (in Rs. Cr.)</t>
  </si>
  <si>
    <t>DRREDDY.NS</t>
  </si>
  <si>
    <t>Dr. Reddy's Laboratories</t>
  </si>
  <si>
    <t>Balance Sheet of Dr Reddys Laboratories (in Rs. Cr.)</t>
  </si>
  <si>
    <t>Profit &amp; Loss account of Dr Reddys Laboratories (in Rs. Cr.)</t>
  </si>
  <si>
    <t>LUPIN.NS</t>
  </si>
  <si>
    <t>LUPIN</t>
  </si>
  <si>
    <t>Balance Sheet of Lupin (in Rs. Cr.)</t>
  </si>
  <si>
    <t>Profit &amp; Loss account of Lupin (in Rs. Cr.)</t>
  </si>
  <si>
    <t>DIVISLAB.NS</t>
  </si>
  <si>
    <t>DIVIS Laboratories Ltd.</t>
  </si>
  <si>
    <t>Balance Sheet of Divis Laboratories (in Rs. Cr.)</t>
  </si>
  <si>
    <t>Profit &amp; Loss account of Divis Laboratories (in Rs. Cr.)</t>
  </si>
  <si>
    <t>-</t>
  </si>
  <si>
    <t>TORNTPHARM.NS</t>
  </si>
  <si>
    <t>variance (Market)</t>
  </si>
  <si>
    <t>Torrent Pharmaceuticals</t>
  </si>
  <si>
    <t>Balance Sheet of Torrent Pharmaceuticals (in Rs. Cr.)</t>
  </si>
  <si>
    <t>Profit &amp; Loss account of Torrent Pharmaceuticals (in Rs. Cr.)</t>
  </si>
  <si>
    <t xml:space="preserve">               Items
     Company</t>
  </si>
  <si>
    <t xml:space="preserve">                                   COMPANY
          ITEMS</t>
  </si>
  <si>
    <t>Lupin</t>
  </si>
  <si>
    <t>Torrent</t>
  </si>
  <si>
    <t>Sun Pharma</t>
  </si>
  <si>
    <t>Total Risk (DTL) Detail</t>
  </si>
  <si>
    <r>
      <t>5.37 (Extreme):</t>
    </r>
    <r>
      <rPr>
        <sz val="11"/>
        <color rgb="FF1F1F1F"/>
        <rFont val="Google Sans Text"/>
        <family val="2"/>
        <charset val="1"/>
      </rPr>
      <t xml:space="preserve"> The highest in the group. A 1% change in sales causes a massive 5.37% swing in bottom-line profit.</t>
    </r>
  </si>
  <si>
    <r>
      <t>3.35 (Moderate-High):</t>
    </r>
    <r>
      <rPr>
        <sz val="11"/>
        <color rgb="FF1F1F1F"/>
        <rFont val="Google Sans Text"/>
        <family val="2"/>
        <charset val="1"/>
      </rPr>
      <t xml:space="preserve"> High fixed costs make their profits quite sensitive to market changes.</t>
    </r>
  </si>
  <si>
    <r>
      <t>3.35 (Moderate-High):</t>
    </r>
    <r>
      <rPr>
        <sz val="11"/>
        <color rgb="FF1F1F1F"/>
        <rFont val="Google Sans Text"/>
        <family val="2"/>
        <charset val="1"/>
      </rPr>
      <t xml:space="preserve"> Similar sensitivity to Torrent, mainly due to large-scale operations and fixed assets.</t>
    </r>
  </si>
  <si>
    <t>Dr. Reddy</t>
  </si>
  <si>
    <t>Debt Usage (DFL) Detail</t>
  </si>
  <si>
    <r>
      <t>1.13 (Moderate):</t>
    </r>
    <r>
      <rPr>
        <sz val="11"/>
        <color rgb="FF1F1F1F"/>
        <rFont val="Google Sans Text"/>
        <family val="2"/>
        <charset val="1"/>
      </rPr>
      <t xml:space="preserve"> Uses a fair amount of debt, which adds to the pressure on their profits.</t>
    </r>
  </si>
  <si>
    <r>
      <t>1.15 (Highest):</t>
    </r>
    <r>
      <rPr>
        <sz val="11"/>
        <color rgb="FF1F1F1F"/>
        <rFont val="Google Sans Text"/>
        <family val="2"/>
        <charset val="1"/>
      </rPr>
      <t xml:space="preserve"> They are the most "leveraged" company, meaning they use more borrowed money than any peer.</t>
    </r>
  </si>
  <si>
    <r>
      <t>1.02 (Low):</t>
    </r>
    <r>
      <rPr>
        <sz val="11"/>
        <color rgb="FF1F1F1F"/>
        <rFont val="Google Sans Text"/>
        <family val="2"/>
        <charset val="1"/>
      </rPr>
      <t xml:space="preserve"> Despite being a giant, they carry almost no debt risk. They are mostly self-funded.</t>
    </r>
  </si>
  <si>
    <t>Cipla</t>
  </si>
  <si>
    <t>Cost of Money (WACC) Detail</t>
  </si>
  <si>
    <r>
      <t>12.24% (Highest):</t>
    </r>
    <r>
      <rPr>
        <sz val="11"/>
        <color rgb="FF1F1F1F"/>
        <rFont val="Google Sans Text"/>
        <family val="2"/>
        <charset val="1"/>
      </rPr>
      <t xml:space="preserve"> Investors see the high risk and demand a higher return, making their capital expensive.</t>
    </r>
  </si>
  <si>
    <r>
      <t>9.85% (Lowest):</t>
    </r>
    <r>
      <rPr>
        <sz val="11"/>
        <color rgb="FF1F1F1F"/>
        <rFont val="Google Sans Text"/>
        <family val="2"/>
        <charset val="1"/>
      </rPr>
      <t xml:space="preserve"> Interestingly, their smart use of "cheaper" debt actually lowers their overall cost of capital.</t>
    </r>
  </si>
  <si>
    <r>
      <t>10.86% (Average):</t>
    </r>
    <r>
      <rPr>
        <sz val="11"/>
        <color rgb="FF1F1F1F"/>
        <rFont val="Google Sans Text"/>
        <family val="2"/>
        <charset val="1"/>
      </rPr>
      <t xml:space="preserve"> Their cost of money is the "Gold Standard" or the industry benchmark.</t>
    </r>
  </si>
  <si>
    <t>Why this "Personality"?</t>
  </si>
  <si>
    <r>
      <t>The Aggressive Racer:</t>
    </r>
    <r>
      <rPr>
        <sz val="11"/>
        <color rgb="FF1F1F1F"/>
        <rFont val="Google Sans Text"/>
        <family val="2"/>
        <charset val="1"/>
      </rPr>
      <t xml:space="preserve"> Like a car with a massive turbocharger; it's the fastest when winning but the most likely to crash if sales slip.</t>
    </r>
  </si>
  <si>
    <r>
      <t>The Efficiency Expert:</t>
    </r>
    <r>
      <rPr>
        <sz val="11"/>
        <color rgb="FF1F1F1F"/>
        <rFont val="Google Sans Text"/>
        <family val="2"/>
        <charset val="1"/>
      </rPr>
      <t xml:space="preserve"> They use debt as a tool better than anyone else to keep their total "fuel costs" (WACC) at rock bottom.</t>
    </r>
  </si>
  <si>
    <r>
      <t>The Heavyweight Giant:</t>
    </r>
    <r>
      <rPr>
        <sz val="11"/>
        <color rgb="FF1F1F1F"/>
        <rFont val="Google Sans Text"/>
        <family val="2"/>
        <charset val="1"/>
      </rPr>
      <t xml:space="preserve"> They have the muscle (fixed assets) to dominate the market but play it very safe with their bank balance.</t>
    </r>
  </si>
  <si>
    <t>Divis</t>
  </si>
  <si>
    <t>Divis Labs</t>
  </si>
  <si>
    <r>
      <t>2.92 (Moderate):</t>
    </r>
    <r>
      <rPr>
        <sz val="11"/>
        <color rgb="FF1F1F1F"/>
        <rFont val="Google Sans Text"/>
        <family val="2"/>
        <charset val="1"/>
      </rPr>
      <t xml:space="preserve"> A balanced cost structure. Their profits are more stable than Sun or Lupin.</t>
    </r>
  </si>
  <si>
    <r>
      <t>2.74 (Low-Moderate):</t>
    </r>
    <r>
      <rPr>
        <sz val="11"/>
        <color rgb="FF1F1F1F"/>
        <rFont val="Google Sans Text"/>
        <family val="2"/>
        <charset val="1"/>
      </rPr>
      <t xml:space="preserve"> Lower sensitivity. They have optimized their costs so that a drop in sales won't hurt as much.</t>
    </r>
  </si>
  <si>
    <r>
      <t>2.16 (Lowest):</t>
    </r>
    <r>
      <rPr>
        <sz val="11"/>
        <color rgb="FF1F1F1F"/>
        <rFont val="Google Sans Text"/>
        <family val="2"/>
        <charset val="1"/>
      </rPr>
      <t xml:space="preserve"> The most stable profit machine. Their earnings don't fluctuate wildly with sales.</t>
    </r>
  </si>
  <si>
    <r>
      <t>1.02 (Low):</t>
    </r>
    <r>
      <rPr>
        <sz val="11"/>
        <color rgb="FF1F1F1F"/>
        <rFont val="Google Sans Text"/>
        <family val="2"/>
        <charset val="1"/>
      </rPr>
      <t xml:space="preserve"> Very conservative. They prefer using their own cash over taking bank loans.</t>
    </r>
  </si>
  <si>
    <r>
      <t>1.02 (Low):</t>
    </r>
    <r>
      <rPr>
        <sz val="11"/>
        <color rgb="FF1F1F1F"/>
        <rFont val="Google Sans Text"/>
        <family val="2"/>
        <charset val="1"/>
      </rPr>
      <t xml:space="preserve"> Like Cipla and Sun, they avoid debt. Their financial risk is almost zero.</t>
    </r>
  </si>
  <si>
    <r>
      <t>1.00 (Zero Debt):</t>
    </r>
    <r>
      <rPr>
        <sz val="11"/>
        <color rgb="FF1F1F1F"/>
        <rFont val="Google Sans Text"/>
        <family val="2"/>
        <charset val="1"/>
      </rPr>
      <t xml:space="preserve"> They have effectively no debt. They are essentially their own bank.</t>
    </r>
  </si>
  <si>
    <t>Row Labels</t>
  </si>
  <si>
    <t>Sum of DOL</t>
  </si>
  <si>
    <t>Sum of DTL</t>
  </si>
  <si>
    <t>Sum of WACC</t>
  </si>
  <si>
    <t>Sum of DFL</t>
  </si>
  <si>
    <r>
      <t>11.12% (Moderate):</t>
    </r>
    <r>
      <rPr>
        <sz val="11"/>
        <color rgb="FF1F1F1F"/>
        <rFont val="Google Sans Text"/>
        <family val="2"/>
        <charset val="1"/>
      </rPr>
      <t xml:space="preserve"> A slightly higher cost of equity compared to Sun Pharma makes their fuel a bit pricier.</t>
    </r>
  </si>
  <si>
    <r>
      <t>10.26% (Good):</t>
    </r>
    <r>
      <rPr>
        <sz val="11"/>
        <color rgb="FF1F1F1F"/>
        <rFont val="Google Sans Text"/>
        <family val="2"/>
        <charset val="1"/>
      </rPr>
      <t xml:space="preserve"> They enjoy a very healthy trust level from the market, keeping their capital costs low.</t>
    </r>
  </si>
  <si>
    <r>
      <t>11.40% (Moderate):</t>
    </r>
    <r>
      <rPr>
        <sz val="11"/>
        <color rgb="FF1F1F1F"/>
        <rFont val="Google Sans Text"/>
        <family val="2"/>
        <charset val="1"/>
      </rPr>
      <t xml:space="preserve"> Because they have no "cheap" debt, they rely on "expensive" equity, which keeps their WACC slightly higher.</t>
    </r>
  </si>
  <si>
    <r>
      <t>The Balanced Player:</t>
    </r>
    <r>
      <rPr>
        <sz val="11"/>
        <color rgb="FF1F1F1F"/>
        <rFont val="Google Sans Text"/>
        <family val="2"/>
        <charset val="1"/>
      </rPr>
      <t xml:space="preserve"> They sit right in the middle of the pack—not too risky, not too expensive, and very stable.</t>
    </r>
  </si>
  <si>
    <r>
      <t>The Solid Performer:</t>
    </r>
    <r>
      <rPr>
        <sz val="11"/>
        <color rgb="FF1F1F1F"/>
        <rFont val="Google Sans Text"/>
        <family val="2"/>
        <charset val="1"/>
      </rPr>
      <t xml:space="preserve"> They are highly efficient and very safe. They offer a "premium" feel with very little financial stress.</t>
    </r>
  </si>
  <si>
    <r>
      <t>The Safety Specialist:</t>
    </r>
    <r>
      <rPr>
        <sz val="11"/>
        <color rgb="FF1F1F1F"/>
        <rFont val="Google Sans Text"/>
        <family val="2"/>
        <charset val="1"/>
      </rPr>
      <t xml:space="preserve"> They are the "Fort Knox" of the group. Perfect for investors who hate risk and want a company that is debt-proof.</t>
    </r>
  </si>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</sst>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6">
    <font>
      <sz val="11"/>
      <color theme="1"/>
      <name val="Calibri"/>
      <family val="2"/>
      <scheme val="minor"/>
    </font>
    <font>
      <u/>
      <sz val="11"/>
      <color theme="10"/>
      <name val="Calibri"/>
      <family val="2"/>
      <scheme val="minor"/>
    </font>
    <font>
      <sz val="11"/>
      <color rgb="FF000000"/>
      <name val="Calibri"/>
      <family val="2"/>
    </font>
    <font>
      <b/>
      <sz val="16"/>
      <color rgb="FF000000"/>
      <name val="Calibri"/>
      <family val="2"/>
    </font>
    <font>
      <b/>
      <sz val="11"/>
      <color rgb="FF000000"/>
      <name val="Calibri"/>
      <family val="2"/>
    </font>
    <font>
      <i/>
      <sz val="11"/>
      <color rgb="FF000000"/>
      <name val="Calibri"/>
      <family val="2"/>
    </font>
    <font>
      <b/>
      <i/>
      <sz val="16"/>
      <color rgb="FF000000"/>
      <name val="Calibri"/>
      <family val="2"/>
    </font>
    <font>
      <b/>
      <i/>
      <sz val="11"/>
      <color rgb="FF000000"/>
      <name val="Calibri"/>
      <family val="2"/>
    </font>
    <font>
      <b/>
      <sz val="16"/>
      <color rgb="FF333333"/>
      <name val="Arial"/>
      <family val="2"/>
    </font>
    <font>
      <sz val="11"/>
      <color rgb="FF000000"/>
      <name val="Calibri"/>
      <family val="2"/>
    </font>
    <font>
      <sz val="11"/>
      <color theme="1"/>
      <name val="Calibri"/>
      <family val="2"/>
    </font>
    <font>
      <b/>
      <i/>
      <sz val="11"/>
      <color rgb="FFFFFFFF"/>
      <name val="Calibri"/>
      <family val="2"/>
    </font>
    <font>
      <b/>
      <sz val="11"/>
      <color theme="1"/>
      <name val="Calibri"/>
      <family val="2"/>
      <scheme val="minor"/>
    </font>
    <font>
      <sz val="11"/>
      <color rgb="FF1F1F1F"/>
      <name val="Google Sans Text"/>
      <family val="2"/>
      <charset val="1"/>
    </font>
    <font>
      <b/>
      <sz val="11"/>
      <color rgb="FF1F1F1F"/>
      <name val="Google Sans Text"/>
      <charset val="1"/>
    </font>
    <font>
      <b/>
      <sz val="11"/>
      <color theme="1"/>
      <name val="Calibri"/>
      <family val="2"/>
    </font>
  </fonts>
  <fills count="6">
    <fill>
      <patternFill patternType="none"/>
    </fill>
    <fill>
      <patternFill patternType="gray125"/>
    </fill>
    <fill>
      <patternFill patternType="solid">
        <fgColor rgb="FFBDD7EE"/>
        <bgColor rgb="FF000000"/>
      </patternFill>
    </fill>
    <fill>
      <patternFill patternType="solid">
        <fgColor theme="4" tint="0.59999389629810485"/>
        <bgColor indexed="64"/>
      </patternFill>
    </fill>
    <fill>
      <patternFill patternType="solid">
        <fgColor theme="9" tint="0.79998168889431442"/>
        <bgColor indexed="64"/>
      </patternFill>
    </fill>
    <fill>
      <patternFill patternType="solid">
        <fgColor theme="9"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1F1F1F"/>
      </left>
      <right style="thin">
        <color rgb="FF1F1F1F"/>
      </right>
      <top style="thin">
        <color rgb="FF1F1F1F"/>
      </top>
      <bottom style="thin">
        <color rgb="FF1F1F1F"/>
      </bottom>
      <diagonal/>
    </border>
    <border diagonalDown="1">
      <left style="thick">
        <color rgb="FF000000"/>
      </left>
      <right style="thick">
        <color rgb="FF000000"/>
      </right>
      <top style="thick">
        <color rgb="FF000000"/>
      </top>
      <bottom style="thick">
        <color rgb="FF000000"/>
      </bottom>
      <diagonal style="thin">
        <color indexed="64"/>
      </diagonal>
    </border>
    <border>
      <left style="thick">
        <color rgb="FF000000"/>
      </left>
      <right style="thick">
        <color rgb="FF000000"/>
      </right>
      <top style="thick">
        <color rgb="FF000000"/>
      </top>
      <bottom style="thick">
        <color rgb="FF000000"/>
      </bottom>
      <diagonal/>
    </border>
    <border>
      <left style="thick">
        <color rgb="FF000000"/>
      </left>
      <right style="thick">
        <color rgb="FF000000"/>
      </right>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s>
  <cellStyleXfs count="2">
    <xf numFmtId="0" fontId="0" fillId="0" borderId="0"/>
    <xf numFmtId="0" fontId="1" fillId="0" borderId="0" applyNumberFormat="0" applyFill="0" applyBorder="0" applyAlignment="0" applyProtection="0"/>
  </cellStyleXfs>
  <cellXfs count="74">
    <xf numFmtId="0" fontId="0" fillId="0" borderId="0" xfId="0"/>
    <xf numFmtId="0" fontId="1" fillId="0" borderId="0" xfId="1"/>
    <xf numFmtId="14" fontId="0" fillId="0" borderId="0" xfId="0" applyNumberFormat="1"/>
    <xf numFmtId="0" fontId="2" fillId="0" borderId="0" xfId="0" applyFont="1"/>
    <xf numFmtId="0" fontId="4" fillId="2" borderId="1" xfId="0" applyFont="1" applyFill="1" applyBorder="1"/>
    <xf numFmtId="16" fontId="4" fillId="2" borderId="2" xfId="0" applyNumberFormat="1" applyFont="1" applyFill="1" applyBorder="1"/>
    <xf numFmtId="0" fontId="4" fillId="0" borderId="0" xfId="0" applyFont="1" applyAlignment="1">
      <alignment wrapText="1"/>
    </xf>
    <xf numFmtId="0" fontId="2" fillId="0" borderId="3" xfId="0" applyFont="1" applyBorder="1"/>
    <xf numFmtId="0" fontId="2" fillId="0" borderId="4" xfId="0" applyFont="1" applyBorder="1"/>
    <xf numFmtId="0" fontId="4" fillId="0" borderId="4" xfId="0" applyFont="1" applyBorder="1"/>
    <xf numFmtId="4" fontId="2" fillId="0" borderId="4" xfId="0" applyNumberFormat="1" applyFont="1" applyBorder="1"/>
    <xf numFmtId="0" fontId="2" fillId="0" borderId="0" xfId="0" quotePrefix="1" applyFont="1"/>
    <xf numFmtId="0" fontId="2" fillId="0" borderId="0" xfId="0" applyFont="1" applyAlignment="1">
      <alignment wrapText="1"/>
    </xf>
    <xf numFmtId="0" fontId="4" fillId="0" borderId="0" xfId="0" applyFont="1"/>
    <xf numFmtId="0" fontId="5" fillId="0" borderId="0" xfId="0" applyFont="1"/>
    <xf numFmtId="0" fontId="7" fillId="0" borderId="0" xfId="0" applyFont="1"/>
    <xf numFmtId="0" fontId="7" fillId="2" borderId="1" xfId="0" applyFont="1" applyFill="1" applyBorder="1"/>
    <xf numFmtId="16" fontId="7" fillId="2" borderId="2" xfId="0" applyNumberFormat="1" applyFont="1" applyFill="1" applyBorder="1"/>
    <xf numFmtId="0" fontId="5" fillId="0" borderId="3" xfId="0" applyFont="1" applyBorder="1"/>
    <xf numFmtId="0" fontId="5" fillId="0" borderId="4" xfId="0" applyFont="1" applyBorder="1"/>
    <xf numFmtId="4" fontId="5" fillId="0" borderId="4" xfId="0" applyNumberFormat="1" applyFont="1" applyBorder="1"/>
    <xf numFmtId="4" fontId="2" fillId="0" borderId="0" xfId="0" applyNumberFormat="1" applyFont="1"/>
    <xf numFmtId="0" fontId="9" fillId="0" borderId="0" xfId="0" quotePrefix="1" applyFont="1"/>
    <xf numFmtId="0" fontId="2" fillId="0" borderId="5" xfId="0" applyFont="1" applyBorder="1"/>
    <xf numFmtId="2" fontId="2" fillId="0" borderId="0" xfId="0" applyNumberFormat="1" applyFont="1"/>
    <xf numFmtId="0" fontId="9" fillId="0" borderId="0" xfId="0" applyFont="1"/>
    <xf numFmtId="4" fontId="5" fillId="0" borderId="0" xfId="0" applyNumberFormat="1" applyFont="1"/>
    <xf numFmtId="16" fontId="11" fillId="0" borderId="0" xfId="0" applyNumberFormat="1" applyFont="1"/>
    <xf numFmtId="16" fontId="4" fillId="0" borderId="0" xfId="0" applyNumberFormat="1" applyFont="1"/>
    <xf numFmtId="0" fontId="4" fillId="2" borderId="5" xfId="0" applyFont="1" applyFill="1" applyBorder="1"/>
    <xf numFmtId="16" fontId="4" fillId="2" borderId="5" xfId="0" applyNumberFormat="1" applyFont="1" applyFill="1" applyBorder="1"/>
    <xf numFmtId="0" fontId="4" fillId="0" borderId="5" xfId="0" applyFont="1" applyBorder="1"/>
    <xf numFmtId="4" fontId="2" fillId="0" borderId="5" xfId="0" applyNumberFormat="1" applyFont="1" applyBorder="1"/>
    <xf numFmtId="16" fontId="7" fillId="0" borderId="0" xfId="0" applyNumberFormat="1" applyFont="1"/>
    <xf numFmtId="0" fontId="0" fillId="0" borderId="0" xfId="0" applyAlignment="1">
      <alignment wrapText="1"/>
    </xf>
    <xf numFmtId="0" fontId="14" fillId="0" borderId="9" xfId="0" applyFont="1" applyBorder="1" applyAlignment="1">
      <alignment readingOrder="1"/>
    </xf>
    <xf numFmtId="0" fontId="0" fillId="0" borderId="0" xfId="0" pivotButton="1"/>
    <xf numFmtId="0" fontId="0" fillId="0" borderId="0" xfId="0" applyAlignment="1">
      <alignment horizontal="left"/>
    </xf>
    <xf numFmtId="2" fontId="0" fillId="0" borderId="0" xfId="0" applyNumberFormat="1"/>
    <xf numFmtId="0" fontId="14" fillId="3" borderId="9" xfId="0" applyFont="1" applyFill="1" applyBorder="1" applyAlignment="1">
      <alignment readingOrder="1"/>
    </xf>
    <xf numFmtId="0" fontId="14" fillId="3" borderId="9" xfId="0" applyFont="1" applyFill="1" applyBorder="1" applyAlignment="1">
      <alignment wrapText="1" readingOrder="1"/>
    </xf>
    <xf numFmtId="0" fontId="0" fillId="0" borderId="11" xfId="0" applyBorder="1"/>
    <xf numFmtId="0" fontId="12" fillId="3" borderId="11" xfId="0" applyFont="1" applyFill="1" applyBorder="1" applyAlignment="1">
      <alignment horizontal="center"/>
    </xf>
    <xf numFmtId="0" fontId="0" fillId="0" borderId="11" xfId="0" applyBorder="1" applyAlignment="1">
      <alignment horizontal="center"/>
    </xf>
    <xf numFmtId="0" fontId="4" fillId="3" borderId="10" xfId="0" applyFont="1" applyFill="1" applyBorder="1" applyAlignment="1">
      <alignment horizontal="left" wrapText="1"/>
    </xf>
    <xf numFmtId="4" fontId="2" fillId="4" borderId="11" xfId="0" quotePrefix="1" applyNumberFormat="1" applyFont="1" applyFill="1" applyBorder="1"/>
    <xf numFmtId="0" fontId="2" fillId="4" borderId="11" xfId="0" quotePrefix="1" applyFont="1" applyFill="1" applyBorder="1"/>
    <xf numFmtId="0" fontId="10" fillId="4" borderId="11" xfId="0" applyFont="1" applyFill="1" applyBorder="1"/>
    <xf numFmtId="0" fontId="10" fillId="4" borderId="11" xfId="0" quotePrefix="1" applyFont="1" applyFill="1" applyBorder="1"/>
    <xf numFmtId="0" fontId="2" fillId="4" borderId="11" xfId="0" applyFont="1" applyFill="1" applyBorder="1"/>
    <xf numFmtId="164" fontId="9" fillId="4" borderId="11" xfId="0" quotePrefix="1" applyNumberFormat="1" applyFont="1" applyFill="1" applyBorder="1"/>
    <xf numFmtId="0" fontId="4" fillId="5" borderId="11" xfId="0" applyFont="1" applyFill="1" applyBorder="1"/>
    <xf numFmtId="0" fontId="15" fillId="5" borderId="11" xfId="0" applyFont="1" applyFill="1" applyBorder="1"/>
    <xf numFmtId="14" fontId="0" fillId="0" borderId="11" xfId="0" applyNumberFormat="1" applyBorder="1"/>
    <xf numFmtId="0" fontId="12" fillId="0" borderId="0" xfId="0" applyFont="1"/>
    <xf numFmtId="0" fontId="0" fillId="0" borderId="12" xfId="0" applyBorder="1"/>
    <xf numFmtId="0" fontId="12" fillId="0" borderId="12" xfId="0" applyFont="1" applyBorder="1"/>
    <xf numFmtId="0" fontId="12" fillId="0" borderId="11" xfId="0" applyFont="1" applyBorder="1"/>
    <xf numFmtId="0" fontId="12" fillId="0" borderId="11" xfId="0" applyFont="1" applyBorder="1" applyAlignment="1">
      <alignment horizontal="center"/>
    </xf>
    <xf numFmtId="0" fontId="0" fillId="0" borderId="0" xfId="0" applyAlignment="1">
      <alignment horizontal="center"/>
    </xf>
    <xf numFmtId="0" fontId="0" fillId="0" borderId="12" xfId="0"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3" fillId="0" borderId="8" xfId="0" applyFont="1" applyBorder="1" applyAlignment="1">
      <alignment horizontal="center"/>
    </xf>
    <xf numFmtId="0" fontId="12" fillId="4" borderId="13" xfId="0" applyFont="1" applyFill="1" applyBorder="1" applyAlignment="1">
      <alignment horizontal="center"/>
    </xf>
    <xf numFmtId="0" fontId="12" fillId="4" borderId="14" xfId="0" applyFont="1" applyFill="1" applyBorder="1" applyAlignment="1">
      <alignment horizontal="center"/>
    </xf>
    <xf numFmtId="0" fontId="12" fillId="4" borderId="15" xfId="0" applyFont="1" applyFill="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0" fontId="6" fillId="0" borderId="8" xfId="0" applyFont="1" applyBorder="1" applyAlignment="1">
      <alignment horizontal="center"/>
    </xf>
    <xf numFmtId="0" fontId="8" fillId="0" borderId="6" xfId="0" applyFont="1" applyBorder="1" applyAlignment="1">
      <alignment horizontal="center"/>
    </xf>
    <xf numFmtId="0" fontId="8" fillId="0" borderId="7" xfId="0" applyFont="1" applyBorder="1" applyAlignment="1">
      <alignment horizontal="center"/>
    </xf>
    <xf numFmtId="0" fontId="8" fillId="0" borderId="8" xfId="0" applyFont="1" applyBorder="1" applyAlignment="1">
      <alignment horizontal="center"/>
    </xf>
    <xf numFmtId="0" fontId="12" fillId="0" borderId="11" xfId="0" applyFont="1" applyBorder="1" applyAlignment="1">
      <alignment horizontal="center"/>
    </xf>
  </cellXfs>
  <cellStyles count="2">
    <cellStyle name="Hyperlink" xfId="1" builtinId="8"/>
    <cellStyle name="Normal" xfId="0" builtinId="0"/>
  </cellStyles>
  <dxfs count="1">
    <dxf>
      <numFmt numFmtId="2" formatCode="0.00"/>
    </dxf>
  </dxfs>
  <tableStyles count="0" defaultTableStyle="TableStyleMedium2" defaultPivotStyle="PivotStyleLight16"/>
  <colors>
    <mruColors>
      <color rgb="FFA3DBF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of Indian Pharmaceutical Sector.xlsx]Comparative Analysis!PivotTable2</c:name>
    <c:fmtId val="0"/>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1"/>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2"/>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3"/>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'Comparative Analysis'!$B$11</c:f>
              <c:strCache>
                <c:ptCount val="1"/>
                <c:pt idx="0">
                  <c:v>Sum of DOL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'Comparative Analysis'!$A$12:$A$18</c:f>
              <c:strCache>
                <c:ptCount val="6"/>
                <c:pt idx="0">
                  <c:v>Cipla</c:v>
                </c:pt>
                <c:pt idx="1">
                  <c:v>Divis</c:v>
                </c:pt>
                <c:pt idx="2">
                  <c:v>Dr. Reddy</c:v>
                </c:pt>
                <c:pt idx="3">
                  <c:v>Lupin</c:v>
                </c:pt>
                <c:pt idx="4">
                  <c:v>Sun Pharma</c:v>
                </c:pt>
                <c:pt idx="5">
                  <c:v>Torrent</c:v>
                </c:pt>
              </c:strCache>
            </c:strRef>
          </c:cat>
          <c:val>
            <c:numRef>
              <c:f>'Comparative Analysis'!$B$12:$B$18</c:f>
              <c:numCache>
                <c:formatCode>0.00</c:formatCode>
                <c:ptCount val="6"/>
                <c:pt idx="0">
                  <c:v>2.8708031037090493</c:v>
                </c:pt>
                <c:pt idx="1">
                  <c:v>2.1546629732225302</c:v>
                </c:pt>
                <c:pt idx="2">
                  <c:v>2.678622883083698</c:v>
                </c:pt>
                <c:pt idx="3">
                  <c:v>4.759854126735628</c:v>
                </c:pt>
                <c:pt idx="4">
                  <c:v>3.2751775504222009</c:v>
                </c:pt>
                <c:pt idx="5">
                  <c:v>2.9109610558567747</c:v>
                </c:pt>
              </c:numCache>
            </c:numRef>
          </c:val>
          <c:extLst>
            <c:ext xmlns:c16="http://schemas.microsoft.com/office/drawing/2014/chart" uri="{C3380CC4-5D6E-409C-BE32-E72D297353CC}">
              <c16:uniqueId val="{00000000-D4EC-405B-9C52-2ED410833365}"/>
            </c:ext>
          </c:extLst>
        </c:ser>
        <c:ser>
          <c:idx val="1"/>
          <c:order val="1"/>
          <c:tx>
            <c:strRef>
              <c:f>'Comparative Analysis'!$C$11</c:f>
              <c:strCache>
                <c:ptCount val="1"/>
                <c:pt idx="0">
                  <c:v>Sum of DTL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'Comparative Analysis'!$A$12:$A$18</c:f>
              <c:strCache>
                <c:ptCount val="6"/>
                <c:pt idx="0">
                  <c:v>Cipla</c:v>
                </c:pt>
                <c:pt idx="1">
                  <c:v>Divis</c:v>
                </c:pt>
                <c:pt idx="2">
                  <c:v>Dr. Reddy</c:v>
                </c:pt>
                <c:pt idx="3">
                  <c:v>Lupin</c:v>
                </c:pt>
                <c:pt idx="4">
                  <c:v>Sun Pharma</c:v>
                </c:pt>
                <c:pt idx="5">
                  <c:v>Torrent</c:v>
                </c:pt>
              </c:strCache>
            </c:strRef>
          </c:cat>
          <c:val>
            <c:numRef>
              <c:f>'Comparative Analysis'!$C$12:$C$18</c:f>
              <c:numCache>
                <c:formatCode>0.00</c:formatCode>
                <c:ptCount val="6"/>
                <c:pt idx="0">
                  <c:v>2.9160560514916076</c:v>
                </c:pt>
                <c:pt idx="1">
                  <c:v>2.1576514100785946</c:v>
                </c:pt>
                <c:pt idx="2">
                  <c:v>2.7423987309185538</c:v>
                </c:pt>
                <c:pt idx="3">
                  <c:v>5.3721798148018181</c:v>
                </c:pt>
                <c:pt idx="4">
                  <c:v>3.3456176062352712</c:v>
                </c:pt>
                <c:pt idx="5">
                  <c:v>3.3485253665857462</c:v>
                </c:pt>
              </c:numCache>
            </c:numRef>
          </c:val>
          <c:extLst>
            <c:ext xmlns:c16="http://schemas.microsoft.com/office/drawing/2014/chart" uri="{C3380CC4-5D6E-409C-BE32-E72D297353CC}">
              <c16:uniqueId val="{00000001-D4EC-405B-9C52-2ED410833365}"/>
            </c:ext>
          </c:extLst>
        </c:ser>
        <c:ser>
          <c:idx val="2"/>
          <c:order val="2"/>
          <c:tx>
            <c:strRef>
              <c:f>'Comparative Analysis'!$D$11</c:f>
              <c:strCache>
                <c:ptCount val="1"/>
                <c:pt idx="0">
                  <c:v>Sum of WACC</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'Comparative Analysis'!$A$12:$A$18</c:f>
              <c:strCache>
                <c:ptCount val="6"/>
                <c:pt idx="0">
                  <c:v>Cipla</c:v>
                </c:pt>
                <c:pt idx="1">
                  <c:v>Divis</c:v>
                </c:pt>
                <c:pt idx="2">
                  <c:v>Dr. Reddy</c:v>
                </c:pt>
                <c:pt idx="3">
                  <c:v>Lupin</c:v>
                </c:pt>
                <c:pt idx="4">
                  <c:v>Sun Pharma</c:v>
                </c:pt>
                <c:pt idx="5">
                  <c:v>Torrent</c:v>
                </c:pt>
              </c:strCache>
            </c:strRef>
          </c:cat>
          <c:val>
            <c:numRef>
              <c:f>'Comparative Analysis'!$D$12:$D$18</c:f>
              <c:numCache>
                <c:formatCode>0.00</c:formatCode>
                <c:ptCount val="6"/>
                <c:pt idx="0">
                  <c:v>0.11117743084447271</c:v>
                </c:pt>
                <c:pt idx="1">
                  <c:v>0.11402756516215738</c:v>
                </c:pt>
                <c:pt idx="2">
                  <c:v>0.10264915776687984</c:v>
                </c:pt>
                <c:pt idx="3">
                  <c:v>0.12243337281470759</c:v>
                </c:pt>
                <c:pt idx="4">
                  <c:v>0.10864505746814636</c:v>
                </c:pt>
                <c:pt idx="5">
                  <c:v>9.8457465085626777E-2</c:v>
                </c:pt>
              </c:numCache>
            </c:numRef>
          </c:val>
          <c:extLst>
            <c:ext xmlns:c16="http://schemas.microsoft.com/office/drawing/2014/chart" uri="{C3380CC4-5D6E-409C-BE32-E72D297353CC}">
              <c16:uniqueId val="{00000002-D4EC-405B-9C52-2ED410833365}"/>
            </c:ext>
          </c:extLst>
        </c:ser>
        <c:ser>
          <c:idx val="3"/>
          <c:order val="3"/>
          <c:tx>
            <c:strRef>
              <c:f>'Comparative Analysis'!$E$11</c:f>
              <c:strCache>
                <c:ptCount val="1"/>
                <c:pt idx="0">
                  <c:v>Sum of DFL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'Comparative Analysis'!$A$12:$A$18</c:f>
              <c:strCache>
                <c:ptCount val="6"/>
                <c:pt idx="0">
                  <c:v>Cipla</c:v>
                </c:pt>
                <c:pt idx="1">
                  <c:v>Divis</c:v>
                </c:pt>
                <c:pt idx="2">
                  <c:v>Dr. Reddy</c:v>
                </c:pt>
                <c:pt idx="3">
                  <c:v>Lupin</c:v>
                </c:pt>
                <c:pt idx="4">
                  <c:v>Sun Pharma</c:v>
                </c:pt>
                <c:pt idx="5">
                  <c:v>Torrent</c:v>
                </c:pt>
              </c:strCache>
            </c:strRef>
          </c:cat>
          <c:val>
            <c:numRef>
              <c:f>'Comparative Analysis'!$E$12:$E$18</c:f>
              <c:numCache>
                <c:formatCode>0.00</c:formatCode>
                <c:ptCount val="6"/>
                <c:pt idx="0">
                  <c:v>1.0157631666637437</c:v>
                </c:pt>
                <c:pt idx="1">
                  <c:v>1.0013869625520111</c:v>
                </c:pt>
                <c:pt idx="2">
                  <c:v>1.0238091924912682</c:v>
                </c:pt>
                <c:pt idx="3">
                  <c:v>1.1286437928059219</c:v>
                </c:pt>
                <c:pt idx="4">
                  <c:v>1.0215072479975902</c:v>
                </c:pt>
                <c:pt idx="5">
                  <c:v>1.1503160991620289</c:v>
                </c:pt>
              </c:numCache>
            </c:numRef>
          </c:val>
          <c:extLst>
            <c:ext xmlns:c16="http://schemas.microsoft.com/office/drawing/2014/chart" uri="{C3380CC4-5D6E-409C-BE32-E72D297353CC}">
              <c16:uniqueId val="{00000003-D4EC-405B-9C52-2ED410833365}"/>
            </c:ext>
          </c:extLst>
        </c:ser>
        <c:dLbls>
          <c:dLblPos val="outEnd"/>
          <c:showLegendKey val="0"/>
          <c:showVal val="1"/>
          <c:showCatName val="0"/>
          <c:showSerName val="0"/>
          <c:showPercent val="0"/>
          <c:showBubbleSize val="0"/>
        </c:dLbls>
        <c:gapWidth val="315"/>
        <c:overlap val="-40"/>
        <c:axId val="637166399"/>
        <c:axId val="637161599"/>
      </c:barChart>
      <c:catAx>
        <c:axId val="63716639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37161599"/>
        <c:crosses val="autoZero"/>
        <c:auto val="1"/>
        <c:lblAlgn val="ctr"/>
        <c:lblOffset val="100"/>
        <c:noMultiLvlLbl val="0"/>
      </c:catAx>
      <c:valAx>
        <c:axId val="6371615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37166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666750</xdr:colOff>
      <xdr:row>0</xdr:row>
      <xdr:rowOff>76200</xdr:rowOff>
    </xdr:from>
    <xdr:to>
      <xdr:col>12</xdr:col>
      <xdr:colOff>2085975</xdr:colOff>
      <xdr:row>9</xdr:row>
      <xdr:rowOff>9525</xdr:rowOff>
    </xdr:to>
    <xdr:sp macro="" textlink="">
      <xdr:nvSpPr>
        <xdr:cNvPr id="2" name="TextBox 1">
          <a:extLst>
            <a:ext uri="{FF2B5EF4-FFF2-40B4-BE49-F238E27FC236}">
              <a16:creationId xmlns:a16="http://schemas.microsoft.com/office/drawing/2014/main" id="{767FB819-03F7-4A77-7ACD-3A791F742265}"/>
            </a:ext>
          </a:extLst>
        </xdr:cNvPr>
        <xdr:cNvSpPr txBox="1"/>
      </xdr:nvSpPr>
      <xdr:spPr>
        <a:xfrm>
          <a:off x="12487275" y="76200"/>
          <a:ext cx="5276850" cy="1724025"/>
        </a:xfrm>
        <a:prstGeom prst="wedgeRectCallout">
          <a:avLst/>
        </a:prstGeom>
        <a:solidFill>
          <a:schemeClr val="accent5">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spcFirstLastPara="0" vertOverflow="clip" horzOverflow="clip" wrap="square" lIns="91440" tIns="45720" rIns="91440" bIns="45720" rtlCol="0" anchor="t">
          <a:noAutofit/>
        </a:bodyPr>
        <a:lstStyle/>
        <a:p>
          <a:pPr marL="0" indent="0" algn="l"/>
          <a:r>
            <a:rPr lang="en-US" sz="1100">
              <a:solidFill>
                <a:schemeClr val="dk1"/>
              </a:solidFill>
              <a:latin typeface="+mn-lt"/>
              <a:ea typeface="+mn-lt"/>
              <a:cs typeface="+mn-lt"/>
            </a:rPr>
            <a:t>Analysis: DOL (3.28), DFL (1.02), DTL (3.35), WACC (10.86%).</a:t>
          </a:r>
        </a:p>
        <a:p>
          <a:pPr marL="0" indent="0" algn="l"/>
          <a:endParaRPr lang="en-US" sz="1100">
            <a:solidFill>
              <a:schemeClr val="dk1"/>
            </a:solidFill>
            <a:latin typeface="+mn-lt"/>
            <a:ea typeface="+mn-lt"/>
            <a:cs typeface="+mn-lt"/>
          </a:endParaRPr>
        </a:p>
        <a:p>
          <a:pPr marL="0" indent="0" algn="l"/>
          <a:r>
            <a:rPr lang="en-US" sz="1100">
              <a:solidFill>
                <a:schemeClr val="dk1"/>
              </a:solidFill>
              <a:latin typeface="+mn-lt"/>
              <a:ea typeface="+mn-lt"/>
              <a:cs typeface="+mn-lt"/>
            </a:rPr>
            <a:t>Interpretation: Sun Pharma has a high DOL, meaning its operating income is very sensitive to changes in sales due to higher fixed costs. However, its DFL is near 1.0, indicating it has very little debt.</a:t>
          </a:r>
        </a:p>
        <a:p>
          <a:pPr marL="0" indent="0" algn="l"/>
          <a:endParaRPr lang="en-US" sz="1100">
            <a:solidFill>
              <a:schemeClr val="dk1"/>
            </a:solidFill>
            <a:latin typeface="+mn-lt"/>
            <a:ea typeface="+mn-lt"/>
            <a:cs typeface="+mn-lt"/>
          </a:endParaRPr>
        </a:p>
        <a:p>
          <a:pPr marL="0" indent="0" algn="l"/>
          <a:r>
            <a:rPr lang="en-US" sz="1100">
              <a:solidFill>
                <a:schemeClr val="dk1"/>
              </a:solidFill>
              <a:latin typeface="+mn-lt"/>
              <a:ea typeface="+mn-lt"/>
              <a:cs typeface="+mn-lt"/>
            </a:rPr>
            <a:t>Explanation: "Sun Pharma is operationally aggressive but financially conservative. While its profits swing significantly with sales, it carries almost no risk from debt interest."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561975</xdr:colOff>
      <xdr:row>0</xdr:row>
      <xdr:rowOff>47625</xdr:rowOff>
    </xdr:from>
    <xdr:to>
      <xdr:col>12</xdr:col>
      <xdr:colOff>1362075</xdr:colOff>
      <xdr:row>9</xdr:row>
      <xdr:rowOff>180975</xdr:rowOff>
    </xdr:to>
    <xdr:sp macro="" textlink="">
      <xdr:nvSpPr>
        <xdr:cNvPr id="2" name="TextBox 1">
          <a:extLst>
            <a:ext uri="{FF2B5EF4-FFF2-40B4-BE49-F238E27FC236}">
              <a16:creationId xmlns:a16="http://schemas.microsoft.com/office/drawing/2014/main" id="{28A5F94B-68D8-4717-928B-7FCD51C4BBA9}"/>
            </a:ext>
          </a:extLst>
        </xdr:cNvPr>
        <xdr:cNvSpPr txBox="1"/>
      </xdr:nvSpPr>
      <xdr:spPr>
        <a:xfrm>
          <a:off x="11534775" y="47625"/>
          <a:ext cx="4162425" cy="1924050"/>
        </a:xfrm>
        <a:prstGeom prst="wedgeRectCallout">
          <a:avLst/>
        </a:prstGeom>
        <a:solidFill>
          <a:schemeClr val="accent5">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US" sz="1100">
              <a:solidFill>
                <a:schemeClr val="dk1"/>
              </a:solidFill>
              <a:latin typeface="+mn-lt"/>
              <a:ea typeface="+mn-lt"/>
              <a:cs typeface="+mn-lt"/>
            </a:rPr>
            <a:t>Analysis: DOL (2.87), DFL (1.02), DTL (2.92), WACC (11.12%).</a:t>
          </a:r>
        </a:p>
        <a:p>
          <a:pPr marL="0" indent="0" algn="l"/>
          <a:endParaRPr lang="en-US" sz="1100">
            <a:solidFill>
              <a:schemeClr val="dk1"/>
            </a:solidFill>
            <a:latin typeface="+mn-lt"/>
            <a:ea typeface="+mn-lt"/>
            <a:cs typeface="+mn-lt"/>
          </a:endParaRPr>
        </a:p>
        <a:p>
          <a:pPr marL="0" indent="0" algn="l"/>
          <a:r>
            <a:rPr lang="en-US" sz="1100">
              <a:solidFill>
                <a:schemeClr val="dk1"/>
              </a:solidFill>
              <a:latin typeface="+mn-lt"/>
              <a:ea typeface="+mn-lt"/>
              <a:cs typeface="+mn-lt"/>
            </a:rPr>
            <a:t>Interpretation: Cipla sits in the middle of the pack. Its DTL of 2.92 shows moderate combined risk. Its WACC is slightly higher, indicating the market requires a bit more return for the risk it takes.</a:t>
          </a:r>
        </a:p>
        <a:p>
          <a:pPr marL="0" indent="0" algn="l"/>
          <a:endParaRPr lang="en-US" sz="1100">
            <a:solidFill>
              <a:schemeClr val="dk1"/>
            </a:solidFill>
            <a:latin typeface="+mn-lt"/>
            <a:ea typeface="+mn-lt"/>
            <a:cs typeface="+mn-lt"/>
          </a:endParaRPr>
        </a:p>
        <a:p>
          <a:pPr marL="0" indent="0" algn="l"/>
          <a:r>
            <a:rPr lang="en-US" sz="1100">
              <a:solidFill>
                <a:schemeClr val="dk1"/>
              </a:solidFill>
              <a:latin typeface="+mn-lt"/>
              <a:ea typeface="+mn-lt"/>
              <a:cs typeface="+mn-lt"/>
            </a:rPr>
            <a:t>Explanation: "Cipla represents a standard pharmaceutical model: moderate sensitivity to market sales and a strong preference for equity over debt."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762000</xdr:colOff>
      <xdr:row>0</xdr:row>
      <xdr:rowOff>47625</xdr:rowOff>
    </xdr:from>
    <xdr:to>
      <xdr:col>12</xdr:col>
      <xdr:colOff>1866900</xdr:colOff>
      <xdr:row>9</xdr:row>
      <xdr:rowOff>161925</xdr:rowOff>
    </xdr:to>
    <xdr:sp macro="" textlink="">
      <xdr:nvSpPr>
        <xdr:cNvPr id="2" name="TextBox 1">
          <a:extLst>
            <a:ext uri="{FF2B5EF4-FFF2-40B4-BE49-F238E27FC236}">
              <a16:creationId xmlns:a16="http://schemas.microsoft.com/office/drawing/2014/main" id="{C75BD300-C730-4BFA-B0BD-76D1601B50A9}"/>
            </a:ext>
          </a:extLst>
        </xdr:cNvPr>
        <xdr:cNvSpPr txBox="1"/>
      </xdr:nvSpPr>
      <xdr:spPr>
        <a:xfrm>
          <a:off x="11887200" y="47625"/>
          <a:ext cx="4695825" cy="1905000"/>
        </a:xfrm>
        <a:prstGeom prst="wedgeRectCallout">
          <a:avLst/>
        </a:prstGeom>
        <a:solidFill>
          <a:schemeClr val="accent5">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US" sz="1100">
              <a:solidFill>
                <a:schemeClr val="dk1"/>
              </a:solidFill>
              <a:latin typeface="+mn-lt"/>
              <a:ea typeface="+mn-lt"/>
              <a:cs typeface="+mn-lt"/>
            </a:rPr>
            <a:t>Analysis: DOL (2.68), DFL (1.02), DTL (2.74), WACC (10.26%).</a:t>
          </a:r>
        </a:p>
        <a:p>
          <a:pPr marL="0" indent="0" algn="l"/>
          <a:endParaRPr lang="en-US" sz="1100">
            <a:solidFill>
              <a:schemeClr val="dk1"/>
            </a:solidFill>
            <a:latin typeface="+mn-lt"/>
            <a:ea typeface="+mn-lt"/>
            <a:cs typeface="+mn-lt"/>
          </a:endParaRPr>
        </a:p>
        <a:p>
          <a:pPr marL="0" indent="0" algn="l"/>
          <a:r>
            <a:rPr lang="en-US" sz="1100">
              <a:solidFill>
                <a:schemeClr val="dk1"/>
              </a:solidFill>
              <a:latin typeface="+mn-lt"/>
              <a:ea typeface="+mn-lt"/>
              <a:cs typeface="+mn-lt"/>
            </a:rPr>
            <a:t>Interpretation: This company has a more balanced operating structure compared to Sun Pharma. Its total risk (DTL) is lower, and it maintains a low WACC, suggesting efficient capital management.</a:t>
          </a:r>
        </a:p>
        <a:p>
          <a:pPr marL="0" indent="0" algn="l"/>
          <a:endParaRPr lang="en-US" sz="1100">
            <a:solidFill>
              <a:schemeClr val="dk1"/>
            </a:solidFill>
            <a:latin typeface="+mn-lt"/>
            <a:ea typeface="+mn-lt"/>
            <a:cs typeface="+mn-lt"/>
          </a:endParaRPr>
        </a:p>
        <a:p>
          <a:pPr marL="0" indent="0" algn="l"/>
          <a:r>
            <a:rPr lang="en-US" sz="1100">
              <a:solidFill>
                <a:schemeClr val="dk1"/>
              </a:solidFill>
              <a:latin typeface="+mn-lt"/>
              <a:ea typeface="+mn-lt"/>
              <a:cs typeface="+mn-lt"/>
            </a:rPr>
            <a:t>Explanation: "Dr. Reddy’s is a 'stability' play in this group. It has lower operational risk than many peers while maintaining a very healthy, low-debt balance sheet."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723900</xdr:colOff>
      <xdr:row>0</xdr:row>
      <xdr:rowOff>47625</xdr:rowOff>
    </xdr:from>
    <xdr:to>
      <xdr:col>12</xdr:col>
      <xdr:colOff>2514600</xdr:colOff>
      <xdr:row>9</xdr:row>
      <xdr:rowOff>133350</xdr:rowOff>
    </xdr:to>
    <xdr:sp macro="" textlink="">
      <xdr:nvSpPr>
        <xdr:cNvPr id="2" name="TextBox 1">
          <a:extLst>
            <a:ext uri="{FF2B5EF4-FFF2-40B4-BE49-F238E27FC236}">
              <a16:creationId xmlns:a16="http://schemas.microsoft.com/office/drawing/2014/main" id="{3C978002-72ED-4BBD-BEC7-21C3DA844F5A}"/>
            </a:ext>
          </a:extLst>
        </xdr:cNvPr>
        <xdr:cNvSpPr txBox="1"/>
      </xdr:nvSpPr>
      <xdr:spPr>
        <a:xfrm>
          <a:off x="10506075" y="47625"/>
          <a:ext cx="5000625" cy="1876425"/>
        </a:xfrm>
        <a:prstGeom prst="wedgeRectCallout">
          <a:avLst/>
        </a:prstGeom>
        <a:solidFill>
          <a:schemeClr val="accent5">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US" sz="1100">
              <a:solidFill>
                <a:schemeClr val="dk1"/>
              </a:solidFill>
              <a:latin typeface="+mn-lt"/>
              <a:ea typeface="+mn-lt"/>
              <a:cs typeface="+mn-lt"/>
            </a:rPr>
            <a:t>Analysis: DOL (4.76), DFL (1.13), DTL (5.37), WACC (12.24%).</a:t>
          </a:r>
        </a:p>
        <a:p>
          <a:pPr marL="0" indent="0" algn="l"/>
          <a:endParaRPr lang="en-US" sz="1100">
            <a:solidFill>
              <a:schemeClr val="dk1"/>
            </a:solidFill>
            <a:latin typeface="+mn-lt"/>
            <a:ea typeface="+mn-lt"/>
            <a:cs typeface="+mn-lt"/>
          </a:endParaRPr>
        </a:p>
        <a:p>
          <a:pPr marL="0" indent="0" algn="l"/>
          <a:r>
            <a:rPr lang="en-US" sz="1100">
              <a:solidFill>
                <a:schemeClr val="dk1"/>
              </a:solidFill>
              <a:latin typeface="+mn-lt"/>
              <a:ea typeface="+mn-lt"/>
              <a:cs typeface="+mn-lt"/>
            </a:rPr>
            <a:t>Interpretation: Lupin is the highest-risk company in this list. It has the highest DOL (significant fixed costs) and the highest DFL (more debt than others). Consequently, its DTL is a massive 5.37.</a:t>
          </a:r>
          <a:endParaRPr lang="en-US" sz="11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endParaRPr>
        </a:p>
        <a:p>
          <a:pPr marL="0" indent="0" algn="l"/>
          <a:endParaRPr lang="en-US" sz="11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a:solidFill>
                <a:schemeClr val="dk1"/>
              </a:solidFill>
              <a:latin typeface="+mn-lt"/>
              <a:ea typeface="+mn-lt"/>
              <a:cs typeface="+mn-lt"/>
            </a:rPr>
            <a:t>Explanation: "Lupin is the most aggressive. A 1% change in sales will lead to a 5.37% change in net income. It is using 'high-octane' leverage to potentially boost returns, but it is also the most vulnerable to a market downturn."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457200</xdr:colOff>
      <xdr:row>0</xdr:row>
      <xdr:rowOff>114300</xdr:rowOff>
    </xdr:from>
    <xdr:to>
      <xdr:col>12</xdr:col>
      <xdr:colOff>1819275</xdr:colOff>
      <xdr:row>8</xdr:row>
      <xdr:rowOff>161925</xdr:rowOff>
    </xdr:to>
    <xdr:sp macro="" textlink="">
      <xdr:nvSpPr>
        <xdr:cNvPr id="2" name="TextBox 1">
          <a:extLst>
            <a:ext uri="{FF2B5EF4-FFF2-40B4-BE49-F238E27FC236}">
              <a16:creationId xmlns:a16="http://schemas.microsoft.com/office/drawing/2014/main" id="{59793869-305A-4387-A41E-EC9761F7EB3C}"/>
            </a:ext>
          </a:extLst>
        </xdr:cNvPr>
        <xdr:cNvSpPr txBox="1"/>
      </xdr:nvSpPr>
      <xdr:spPr>
        <a:xfrm>
          <a:off x="10258425" y="114300"/>
          <a:ext cx="4572000" cy="1647825"/>
        </a:xfrm>
        <a:prstGeom prst="wedgeRectCallout">
          <a:avLst/>
        </a:prstGeom>
        <a:solidFill>
          <a:schemeClr val="accent5">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US" sz="1100">
              <a:solidFill>
                <a:schemeClr val="dk1"/>
              </a:solidFill>
              <a:latin typeface="+mn-lt"/>
              <a:ea typeface="+mn-lt"/>
              <a:cs typeface="+mn-lt"/>
            </a:rPr>
            <a:t>Analysis: DOL (2.15), DFL (1.00), DTL (2.16), WACC (11.40%).</a:t>
          </a:r>
        </a:p>
        <a:p>
          <a:pPr marL="0" indent="0" algn="l"/>
          <a:endParaRPr lang="en-US" sz="1100">
            <a:solidFill>
              <a:schemeClr val="dk1"/>
            </a:solidFill>
            <a:latin typeface="+mn-lt"/>
            <a:ea typeface="+mn-lt"/>
            <a:cs typeface="+mn-lt"/>
          </a:endParaRPr>
        </a:p>
        <a:p>
          <a:pPr marL="0" indent="0" algn="l"/>
          <a:r>
            <a:rPr lang="en-US" sz="1100">
              <a:solidFill>
                <a:schemeClr val="dk1"/>
              </a:solidFill>
              <a:latin typeface="+mn-lt"/>
              <a:ea typeface="+mn-lt"/>
              <a:cs typeface="+mn-lt"/>
            </a:rPr>
            <a:t>Interpretation: Divis is the most conservative company. It has the lowest DOL and a DFL of exactly 1.0, meaning it is effectively debt-free.</a:t>
          </a:r>
        </a:p>
        <a:p>
          <a:pPr marL="0" indent="0" algn="l"/>
          <a:endParaRPr lang="en-US" sz="1100">
            <a:solidFill>
              <a:schemeClr val="dk1"/>
            </a:solidFill>
            <a:latin typeface="+mn-lt"/>
            <a:ea typeface="+mn-lt"/>
            <a:cs typeface="+mn-lt"/>
          </a:endParaRPr>
        </a:p>
        <a:p>
          <a:pPr marL="0" indent="0" algn="l"/>
          <a:r>
            <a:rPr lang="en-US" sz="1100">
              <a:solidFill>
                <a:schemeClr val="dk1"/>
              </a:solidFill>
              <a:latin typeface="+mn-lt"/>
              <a:ea typeface="+mn-lt"/>
              <a:cs typeface="+mn-lt"/>
            </a:rPr>
            <a:t>Explanation: "Divis is the 'safest' bet in the group. Its profits are the least volatile, and it has no financial risk from borrowing. It operates very lean."</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11</xdr:col>
      <xdr:colOff>19050</xdr:colOff>
      <xdr:row>0</xdr:row>
      <xdr:rowOff>38100</xdr:rowOff>
    </xdr:from>
    <xdr:to>
      <xdr:col>12</xdr:col>
      <xdr:colOff>3533775</xdr:colOff>
      <xdr:row>9</xdr:row>
      <xdr:rowOff>114300</xdr:rowOff>
    </xdr:to>
    <xdr:sp macro="" textlink="">
      <xdr:nvSpPr>
        <xdr:cNvPr id="2" name="TextBox 1">
          <a:extLst>
            <a:ext uri="{FF2B5EF4-FFF2-40B4-BE49-F238E27FC236}">
              <a16:creationId xmlns:a16="http://schemas.microsoft.com/office/drawing/2014/main" id="{12AB3135-B335-42A0-A0F4-9AA4D17C34E4}"/>
            </a:ext>
          </a:extLst>
        </xdr:cNvPr>
        <xdr:cNvSpPr txBox="1"/>
      </xdr:nvSpPr>
      <xdr:spPr>
        <a:xfrm>
          <a:off x="12163425" y="38100"/>
          <a:ext cx="4924425" cy="1857375"/>
        </a:xfrm>
        <a:prstGeom prst="wedgeRectCallout">
          <a:avLst/>
        </a:prstGeom>
        <a:solidFill>
          <a:schemeClr val="accent5">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US" sz="1100">
              <a:solidFill>
                <a:schemeClr val="dk1"/>
              </a:solidFill>
              <a:latin typeface="+mn-lt"/>
              <a:ea typeface="+mn-lt"/>
              <a:cs typeface="+mn-lt"/>
            </a:rPr>
            <a:t>Analysis: DOL (2.91), DFL (1.15), DTL (3.35), WACC (9.85%).</a:t>
          </a:r>
        </a:p>
        <a:p>
          <a:pPr marL="0" indent="0" algn="l"/>
          <a:endParaRPr lang="en-US" sz="1100">
            <a:solidFill>
              <a:schemeClr val="dk1"/>
            </a:solidFill>
            <a:latin typeface="+mn-lt"/>
            <a:ea typeface="+mn-lt"/>
            <a:cs typeface="+mn-lt"/>
          </a:endParaRPr>
        </a:p>
        <a:p>
          <a:pPr marL="0" indent="0" algn="l"/>
          <a:r>
            <a:rPr lang="en-US" sz="1100">
              <a:solidFill>
                <a:schemeClr val="dk1"/>
              </a:solidFill>
              <a:latin typeface="+mn-lt"/>
              <a:ea typeface="+mn-lt"/>
              <a:cs typeface="+mn-lt"/>
            </a:rPr>
            <a:t>Interpretation: Torrent has the lowest WACC in the group, suggesting it has optimized its cost of capital well. Interestingly, it has the highest DFL (1.15), meaning it uses more debt than any other company on this list to fund its operations.</a:t>
          </a:r>
        </a:p>
        <a:p>
          <a:pPr marL="0" indent="0" algn="l"/>
          <a:endParaRPr lang="en-US" sz="1100">
            <a:solidFill>
              <a:schemeClr val="dk1"/>
            </a:solidFill>
            <a:latin typeface="+mn-lt"/>
            <a:ea typeface="+mn-lt"/>
            <a:cs typeface="+mn-lt"/>
          </a:endParaRPr>
        </a:p>
        <a:p>
          <a:pPr marL="0" indent="0" algn="l"/>
          <a:r>
            <a:rPr lang="en-US" sz="1100">
              <a:solidFill>
                <a:schemeClr val="dk1"/>
              </a:solidFill>
              <a:latin typeface="+mn-lt"/>
              <a:ea typeface="+mn-lt"/>
              <a:cs typeface="+mn-lt"/>
            </a:rPr>
            <a:t>Explanation: "Torrent is a master of financial engineering. It uses more debt than the others to keep its cost of capital (WACC) low, even though this slightly increases its financial risk."</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9525</xdr:colOff>
      <xdr:row>9</xdr:row>
      <xdr:rowOff>273318</xdr:rowOff>
    </xdr:from>
    <xdr:to>
      <xdr:col>7</xdr:col>
      <xdr:colOff>666018</xdr:colOff>
      <xdr:row>25</xdr:row>
      <xdr:rowOff>46947</xdr:rowOff>
    </xdr:to>
    <xdr:graphicFrame macro="">
      <xdr:nvGraphicFramePr>
        <xdr:cNvPr id="7" name="Chart 1">
          <a:extLst>
            <a:ext uri="{FF2B5EF4-FFF2-40B4-BE49-F238E27FC236}">
              <a16:creationId xmlns:a16="http://schemas.microsoft.com/office/drawing/2014/main" id="{42DD80A6-83E9-7010-FE7D-1CEDC51E7F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11731</xdr:colOff>
      <xdr:row>13</xdr:row>
      <xdr:rowOff>15837</xdr:rowOff>
    </xdr:from>
    <xdr:to>
      <xdr:col>11</xdr:col>
      <xdr:colOff>2590807</xdr:colOff>
      <xdr:row>41</xdr:row>
      <xdr:rowOff>144792</xdr:rowOff>
    </xdr:to>
    <xdr:sp macro="" textlink="">
      <xdr:nvSpPr>
        <xdr:cNvPr id="408" name="TextBox 7">
          <a:extLst>
            <a:ext uri="{FF2B5EF4-FFF2-40B4-BE49-F238E27FC236}">
              <a16:creationId xmlns:a16="http://schemas.microsoft.com/office/drawing/2014/main" id="{E10C8730-7593-16E5-74D4-8F0A9EC7A8D5}"/>
            </a:ext>
            <a:ext uri="{147F2762-F138-4A5C-976F-8EAC2B608ADB}">
              <a16:predDERef xmlns:a16="http://schemas.microsoft.com/office/drawing/2014/main" pred="{42DD80A6-83E9-7010-FE7D-1CEDC51E7F3A}"/>
            </a:ext>
          </a:extLst>
        </xdr:cNvPr>
        <xdr:cNvSpPr txBox="1"/>
      </xdr:nvSpPr>
      <xdr:spPr>
        <a:xfrm>
          <a:off x="6787669" y="4564391"/>
          <a:ext cx="13340861" cy="5380893"/>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lstStyle/>
        <a:p>
          <a:pPr marL="0" indent="0"/>
          <a:r>
            <a:rPr lang="en-US" sz="1400" b="1" i="0" u="none" strike="noStrike">
              <a:solidFill>
                <a:schemeClr val="dk1"/>
              </a:solidFill>
              <a:latin typeface="+mn-lt"/>
              <a:ea typeface="+mn-lt"/>
              <a:cs typeface="+mn-lt"/>
            </a:rPr>
            <a:t>Operating Leverage (DOL)</a:t>
          </a:r>
          <a:r>
            <a:rPr lang="en-US" sz="1400" b="0" i="0" u="none" strike="noStrike">
              <a:solidFill>
                <a:schemeClr val="dk1"/>
              </a:solidFill>
              <a:latin typeface="+mn-lt"/>
              <a:ea typeface="+mn-lt"/>
              <a:cs typeface="+mn-lt"/>
            </a:rPr>
            <a:t> is the size of the engine. A bigger engine (High DOL) makes the car go much faster when you hit the gas, but it's harder to control.</a:t>
          </a:r>
          <a:r>
            <a:rPr lang="en-US" sz="1400">
              <a:solidFill>
                <a:schemeClr val="dk1"/>
              </a:solidFill>
              <a:latin typeface="+mn-lt"/>
              <a:ea typeface="+mn-lt"/>
              <a:cs typeface="+mn-lt"/>
            </a:rPr>
            <a:t> </a:t>
          </a:r>
          <a:br>
            <a:rPr lang="en-US" sz="1400">
              <a:solidFill>
                <a:schemeClr val="dk1"/>
              </a:solidFill>
              <a:latin typeface="+mn-lt"/>
              <a:ea typeface="+mn-lt"/>
              <a:cs typeface="+mn-lt"/>
            </a:rPr>
          </a:br>
          <a:r>
            <a:rPr lang="en-US" sz="1400" b="1" i="0" u="none" strike="noStrike">
              <a:solidFill>
                <a:schemeClr val="dk1"/>
              </a:solidFill>
              <a:latin typeface="+mn-lt"/>
              <a:ea typeface="+mn-lt"/>
              <a:cs typeface="+mn-lt"/>
            </a:rPr>
            <a:t>Financial Leverage (DFL)</a:t>
          </a:r>
          <a:r>
            <a:rPr lang="en-US" sz="1400" b="0" i="0" u="none" strike="noStrike">
              <a:solidFill>
                <a:schemeClr val="dk1"/>
              </a:solidFill>
              <a:latin typeface="+mn-lt"/>
              <a:ea typeface="+mn-lt"/>
              <a:cs typeface="+mn-lt"/>
            </a:rPr>
            <a:t> is like using Nitrous/Turbo (Debt). It adds extra speed but makes the engine more likely to overheat if things go wrong.</a:t>
          </a:r>
          <a:r>
            <a:rPr lang="en-US" sz="1400">
              <a:solidFill>
                <a:schemeClr val="dk1"/>
              </a:solidFill>
              <a:latin typeface="+mn-lt"/>
              <a:ea typeface="+mn-lt"/>
              <a:cs typeface="+mn-lt"/>
            </a:rPr>
            <a:t> </a:t>
          </a:r>
          <a:br>
            <a:rPr lang="en-US" sz="1400">
              <a:solidFill>
                <a:schemeClr val="dk1"/>
              </a:solidFill>
              <a:latin typeface="+mn-lt"/>
              <a:ea typeface="+mn-lt"/>
              <a:cs typeface="+mn-lt"/>
            </a:rPr>
          </a:br>
          <a:r>
            <a:rPr lang="en-US" sz="1400" b="1" i="0" u="none" strike="noStrike">
              <a:solidFill>
                <a:schemeClr val="dk1"/>
              </a:solidFill>
              <a:latin typeface="+mn-lt"/>
              <a:ea typeface="+mn-lt"/>
              <a:cs typeface="+mn-lt"/>
            </a:rPr>
            <a:t>1. Lupin: The "High-Speed Racer"</a:t>
          </a:r>
          <a:r>
            <a:rPr lang="en-US" sz="1400">
              <a:solidFill>
                <a:schemeClr val="dk1"/>
              </a:solidFill>
              <a:latin typeface="+mn-lt"/>
              <a:ea typeface="+mn-lt"/>
              <a:cs typeface="+mn-lt"/>
            </a:rPr>
            <a:t> </a:t>
          </a:r>
          <a:r>
            <a:rPr lang="en-US" sz="1400" b="1" i="0" u="none" strike="noStrike">
              <a:solidFill>
                <a:schemeClr val="dk1"/>
              </a:solidFill>
              <a:latin typeface="+mn-lt"/>
              <a:ea typeface="+mn-lt"/>
              <a:cs typeface="+mn-lt"/>
            </a:rPr>
            <a:t>The Numbers:</a:t>
          </a:r>
          <a:r>
            <a:rPr lang="en-US" sz="1400" b="0" i="0" u="none" strike="noStrike">
              <a:solidFill>
                <a:schemeClr val="dk1"/>
              </a:solidFill>
              <a:latin typeface="+mn-lt"/>
              <a:ea typeface="+mn-lt"/>
              <a:cs typeface="+mn-lt"/>
            </a:rPr>
            <a:t> DOL (4.76), DFL (1.13), DTL (5.37).</a:t>
          </a:r>
          <a:r>
            <a:rPr lang="en-US" sz="1400">
              <a:solidFill>
                <a:schemeClr val="dk1"/>
              </a:solidFill>
              <a:latin typeface="+mn-lt"/>
              <a:ea typeface="+mn-lt"/>
              <a:cs typeface="+mn-lt"/>
            </a:rPr>
            <a:t> </a:t>
          </a:r>
          <a:br>
            <a:rPr lang="en-US" sz="1400">
              <a:solidFill>
                <a:schemeClr val="dk1"/>
              </a:solidFill>
              <a:latin typeface="+mn-lt"/>
              <a:ea typeface="+mn-lt"/>
              <a:cs typeface="+mn-lt"/>
            </a:rPr>
          </a:br>
          <a:r>
            <a:rPr lang="en-US" sz="1400" b="1" i="0" u="none" strike="noStrike">
              <a:solidFill>
                <a:schemeClr val="dk1"/>
              </a:solidFill>
              <a:latin typeface="+mn-lt"/>
              <a:ea typeface="+mn-lt"/>
              <a:cs typeface="+mn-lt"/>
            </a:rPr>
            <a:t>Explanation:</a:t>
          </a:r>
          <a:r>
            <a:rPr lang="en-US" sz="1400" b="0" i="0" u="none" strike="noStrike">
              <a:solidFill>
                <a:schemeClr val="dk1"/>
              </a:solidFill>
              <a:latin typeface="+mn-lt"/>
              <a:ea typeface="+mn-lt"/>
              <a:cs typeface="+mn-lt"/>
            </a:rPr>
            <a:t> Lupin is the most aggressive. Because it has high fixed costs and more debt than its peers, its profits are "magnified."</a:t>
          </a:r>
          <a:r>
            <a:rPr lang="en-US" sz="1400">
              <a:solidFill>
                <a:schemeClr val="dk1"/>
              </a:solidFill>
              <a:latin typeface="+mn-lt"/>
              <a:ea typeface="+mn-lt"/>
              <a:cs typeface="+mn-lt"/>
            </a:rPr>
            <a:t> </a:t>
          </a:r>
          <a:br>
            <a:rPr lang="en-US" sz="1400">
              <a:solidFill>
                <a:schemeClr val="dk1"/>
              </a:solidFill>
              <a:latin typeface="+mn-lt"/>
              <a:ea typeface="+mn-lt"/>
              <a:cs typeface="+mn-lt"/>
            </a:rPr>
          </a:br>
          <a:r>
            <a:rPr lang="en-US" sz="1400" b="1" i="0" u="none" strike="noStrike">
              <a:solidFill>
                <a:schemeClr val="dk1"/>
              </a:solidFill>
              <a:latin typeface="+mn-lt"/>
              <a:ea typeface="+mn-lt"/>
              <a:cs typeface="+mn-lt"/>
            </a:rPr>
            <a:t>Takeaway:</a:t>
          </a:r>
          <a:r>
            <a:rPr lang="en-US" sz="1400" b="0" i="0" u="none" strike="noStrike">
              <a:solidFill>
                <a:schemeClr val="dk1"/>
              </a:solidFill>
              <a:latin typeface="+mn-lt"/>
              <a:ea typeface="+mn-lt"/>
              <a:cs typeface="+mn-lt"/>
            </a:rPr>
            <a:t> "If sales go up by 10%, Lupin’s profit jumps by nearly 54%. But if sales drop, their profit crashes just as fast. They are the high-risk, high-reward player."</a:t>
          </a:r>
          <a:r>
            <a:rPr lang="en-US" sz="1400">
              <a:solidFill>
                <a:schemeClr val="dk1"/>
              </a:solidFill>
              <a:latin typeface="+mn-lt"/>
              <a:ea typeface="+mn-lt"/>
              <a:cs typeface="+mn-lt"/>
            </a:rPr>
            <a:t> </a:t>
          </a:r>
          <a:br>
            <a:rPr lang="en-US" sz="1400">
              <a:solidFill>
                <a:schemeClr val="dk1"/>
              </a:solidFill>
              <a:latin typeface="+mn-lt"/>
              <a:ea typeface="+mn-lt"/>
              <a:cs typeface="+mn-lt"/>
            </a:rPr>
          </a:br>
          <a:r>
            <a:rPr lang="en-US" sz="1400" b="1" i="0" u="none" strike="noStrike">
              <a:solidFill>
                <a:schemeClr val="dk1"/>
              </a:solidFill>
              <a:latin typeface="+mn-lt"/>
              <a:ea typeface="+mn-lt"/>
              <a:cs typeface="+mn-lt"/>
            </a:rPr>
            <a:t>2. Divis Labs: The "Safe SUV"</a:t>
          </a:r>
          <a:r>
            <a:rPr lang="en-US" sz="1400">
              <a:solidFill>
                <a:schemeClr val="dk1"/>
              </a:solidFill>
              <a:latin typeface="+mn-lt"/>
              <a:ea typeface="+mn-lt"/>
              <a:cs typeface="+mn-lt"/>
            </a:rPr>
            <a:t> </a:t>
          </a:r>
          <a:r>
            <a:rPr lang="en-US" sz="1400" b="1" i="0" u="none" strike="noStrike">
              <a:solidFill>
                <a:schemeClr val="dk1"/>
              </a:solidFill>
              <a:latin typeface="+mn-lt"/>
              <a:ea typeface="+mn-lt"/>
              <a:cs typeface="+mn-lt"/>
            </a:rPr>
            <a:t>The Numbers:</a:t>
          </a:r>
          <a:r>
            <a:rPr lang="en-US" sz="1400" b="0" i="0" u="none" strike="noStrike">
              <a:solidFill>
                <a:schemeClr val="dk1"/>
              </a:solidFill>
              <a:latin typeface="+mn-lt"/>
              <a:ea typeface="+mn-lt"/>
              <a:cs typeface="+mn-lt"/>
            </a:rPr>
            <a:t> DOL (2.15), DFL (1.00), DTL (2.16).</a:t>
          </a:r>
          <a:r>
            <a:rPr lang="en-US" sz="1400">
              <a:solidFill>
                <a:schemeClr val="dk1"/>
              </a:solidFill>
              <a:latin typeface="+mn-lt"/>
              <a:ea typeface="+mn-lt"/>
              <a:cs typeface="+mn-lt"/>
            </a:rPr>
            <a:t> </a:t>
          </a:r>
          <a:br>
            <a:rPr lang="en-US" sz="1400">
              <a:solidFill>
                <a:schemeClr val="dk1"/>
              </a:solidFill>
              <a:latin typeface="+mn-lt"/>
              <a:ea typeface="+mn-lt"/>
              <a:cs typeface="+mn-lt"/>
            </a:rPr>
          </a:br>
          <a:r>
            <a:rPr lang="en-US" sz="1400" b="1" i="0" u="none" strike="noStrike">
              <a:solidFill>
                <a:schemeClr val="dk1"/>
              </a:solidFill>
              <a:latin typeface="+mn-lt"/>
              <a:ea typeface="+mn-lt"/>
              <a:cs typeface="+mn-lt"/>
            </a:rPr>
            <a:t>Explanation:</a:t>
          </a:r>
          <a:r>
            <a:rPr lang="en-US" sz="1400" b="0" i="0" u="none" strike="noStrike">
              <a:solidFill>
                <a:schemeClr val="dk1"/>
              </a:solidFill>
              <a:latin typeface="+mn-lt"/>
              <a:ea typeface="+mn-lt"/>
              <a:cs typeface="+mn-lt"/>
            </a:rPr>
            <a:t> Divis is the most stable. They have almost no debt (DFL of 1.0) and lower fixed costs.</a:t>
          </a:r>
          <a:r>
            <a:rPr lang="en-US" sz="1400">
              <a:solidFill>
                <a:schemeClr val="dk1"/>
              </a:solidFill>
              <a:latin typeface="+mn-lt"/>
              <a:ea typeface="+mn-lt"/>
              <a:cs typeface="+mn-lt"/>
            </a:rPr>
            <a:t> </a:t>
          </a:r>
          <a:br>
            <a:rPr lang="en-US" sz="1400">
              <a:solidFill>
                <a:schemeClr val="dk1"/>
              </a:solidFill>
              <a:latin typeface="+mn-lt"/>
              <a:ea typeface="+mn-lt"/>
              <a:cs typeface="+mn-lt"/>
            </a:rPr>
          </a:br>
          <a:r>
            <a:rPr lang="en-US" sz="1400" b="1" i="0" u="none" strike="noStrike">
              <a:solidFill>
                <a:schemeClr val="dk1"/>
              </a:solidFill>
              <a:latin typeface="+mn-lt"/>
              <a:ea typeface="+mn-lt"/>
              <a:cs typeface="+mn-lt"/>
            </a:rPr>
            <a:t>Takeaway:</a:t>
          </a:r>
          <a:r>
            <a:rPr lang="en-US" sz="1400" b="0" i="0" u="none" strike="noStrike">
              <a:solidFill>
                <a:schemeClr val="dk1"/>
              </a:solidFill>
              <a:latin typeface="+mn-lt"/>
              <a:ea typeface="+mn-lt"/>
              <a:cs typeface="+mn-lt"/>
            </a:rPr>
            <a:t> "Divis is built for safety. They don't rely on borrowing money. Even if the market gets rocky, their profits won't swing wildly. They are the most reliable company in this group."</a:t>
          </a:r>
          <a:r>
            <a:rPr lang="en-US" sz="1400">
              <a:solidFill>
                <a:schemeClr val="dk1"/>
              </a:solidFill>
              <a:latin typeface="+mn-lt"/>
              <a:ea typeface="+mn-lt"/>
              <a:cs typeface="+mn-lt"/>
            </a:rPr>
            <a:t> </a:t>
          </a:r>
          <a:br>
            <a:rPr lang="en-US" sz="1400">
              <a:solidFill>
                <a:schemeClr val="dk1"/>
              </a:solidFill>
              <a:latin typeface="+mn-lt"/>
              <a:ea typeface="+mn-lt"/>
              <a:cs typeface="+mn-lt"/>
            </a:rPr>
          </a:br>
          <a:r>
            <a:rPr lang="en-US" sz="1400" b="1" i="0" u="none" strike="noStrike">
              <a:solidFill>
                <a:schemeClr val="dk1"/>
              </a:solidFill>
              <a:latin typeface="+mn-lt"/>
              <a:ea typeface="+mn-lt"/>
              <a:cs typeface="+mn-lt"/>
            </a:rPr>
            <a:t>3. Sun Pharma: The "Industrial Giant"</a:t>
          </a:r>
          <a:r>
            <a:rPr lang="en-US" sz="1400">
              <a:solidFill>
                <a:schemeClr val="dk1"/>
              </a:solidFill>
              <a:latin typeface="+mn-lt"/>
              <a:ea typeface="+mn-lt"/>
              <a:cs typeface="+mn-lt"/>
            </a:rPr>
            <a:t> </a:t>
          </a:r>
          <a:r>
            <a:rPr lang="en-US" sz="1400" b="1" i="0" u="none" strike="noStrike">
              <a:solidFill>
                <a:schemeClr val="dk1"/>
              </a:solidFill>
              <a:latin typeface="+mn-lt"/>
              <a:ea typeface="+mn-lt"/>
              <a:cs typeface="+mn-lt"/>
            </a:rPr>
            <a:t>The Numbers:</a:t>
          </a:r>
          <a:r>
            <a:rPr lang="en-US" sz="1400" b="0" i="0" u="none" strike="noStrike">
              <a:solidFill>
                <a:schemeClr val="dk1"/>
              </a:solidFill>
              <a:latin typeface="+mn-lt"/>
              <a:ea typeface="+mn-lt"/>
              <a:cs typeface="+mn-lt"/>
            </a:rPr>
            <a:t> DOL (3.28), DFL (1.02), DTL (3.35).</a:t>
          </a:r>
          <a:r>
            <a:rPr lang="en-US" sz="1400">
              <a:solidFill>
                <a:schemeClr val="dk1"/>
              </a:solidFill>
              <a:latin typeface="+mn-lt"/>
              <a:ea typeface="+mn-lt"/>
              <a:cs typeface="+mn-lt"/>
            </a:rPr>
            <a:t> </a:t>
          </a:r>
          <a:br>
            <a:rPr lang="en-US" sz="1400">
              <a:solidFill>
                <a:schemeClr val="dk1"/>
              </a:solidFill>
              <a:latin typeface="+mn-lt"/>
              <a:ea typeface="+mn-lt"/>
              <a:cs typeface="+mn-lt"/>
            </a:rPr>
          </a:br>
          <a:r>
            <a:rPr lang="en-US" sz="1400" b="1" i="0" u="none" strike="noStrike">
              <a:solidFill>
                <a:schemeClr val="dk1"/>
              </a:solidFill>
              <a:latin typeface="+mn-lt"/>
              <a:ea typeface="+mn-lt"/>
              <a:cs typeface="+mn-lt"/>
            </a:rPr>
            <a:t>Explanation:</a:t>
          </a:r>
          <a:r>
            <a:rPr lang="en-US" sz="1400" b="0" i="0" u="none" strike="noStrike">
              <a:solidFill>
                <a:schemeClr val="dk1"/>
              </a:solidFill>
              <a:latin typeface="+mn-lt"/>
              <a:ea typeface="+mn-lt"/>
              <a:cs typeface="+mn-lt"/>
            </a:rPr>
            <a:t> Sun Pharma has a lot of "heavy machinery" and R&amp;D (High DOL), but they choose not to use debt.</a:t>
          </a:r>
          <a:r>
            <a:rPr lang="en-US" sz="1400">
              <a:solidFill>
                <a:schemeClr val="dk1"/>
              </a:solidFill>
              <a:latin typeface="+mn-lt"/>
              <a:ea typeface="+mn-lt"/>
              <a:cs typeface="+mn-lt"/>
            </a:rPr>
            <a:t> </a:t>
          </a:r>
          <a:br>
            <a:rPr lang="en-US" sz="1400">
              <a:solidFill>
                <a:schemeClr val="dk1"/>
              </a:solidFill>
              <a:latin typeface="+mn-lt"/>
              <a:ea typeface="+mn-lt"/>
              <a:cs typeface="+mn-lt"/>
            </a:rPr>
          </a:br>
          <a:r>
            <a:rPr lang="en-US" sz="1400" b="1" i="0" u="none" strike="noStrike">
              <a:solidFill>
                <a:schemeClr val="dk1"/>
              </a:solidFill>
              <a:latin typeface="+mn-lt"/>
              <a:ea typeface="+mn-lt"/>
              <a:cs typeface="+mn-lt"/>
            </a:rPr>
            <a:t>Takeaway:</a:t>
          </a:r>
          <a:r>
            <a:rPr lang="en-US" sz="1400" b="0" i="0" u="none" strike="noStrike">
              <a:solidFill>
                <a:schemeClr val="dk1"/>
              </a:solidFill>
              <a:latin typeface="+mn-lt"/>
              <a:ea typeface="+mn-lt"/>
              <a:cs typeface="+mn-lt"/>
            </a:rPr>
            <a:t> "Sun Pharma is a massive operation. They have high fixed costs because they are global leaders, but they play it very safe financially by staying debt-free."</a:t>
          </a:r>
          <a:r>
            <a:rPr lang="en-US" sz="1400">
              <a:solidFill>
                <a:schemeClr val="dk1"/>
              </a:solidFill>
              <a:latin typeface="+mn-lt"/>
              <a:ea typeface="+mn-lt"/>
              <a:cs typeface="+mn-lt"/>
            </a:rPr>
            <a:t> </a:t>
          </a:r>
          <a:br>
            <a:rPr lang="en-US" sz="1400">
              <a:solidFill>
                <a:schemeClr val="dk1"/>
              </a:solidFill>
              <a:latin typeface="+mn-lt"/>
              <a:ea typeface="+mn-lt"/>
              <a:cs typeface="+mn-lt"/>
            </a:rPr>
          </a:br>
          <a:r>
            <a:rPr lang="en-US" sz="1400" b="1" i="0" u="none" strike="noStrike">
              <a:solidFill>
                <a:schemeClr val="dk1"/>
              </a:solidFill>
              <a:latin typeface="+mn-lt"/>
              <a:ea typeface="+mn-lt"/>
              <a:cs typeface="+mn-lt"/>
            </a:rPr>
            <a:t>4. Torrent Pharma: The "Smart Borrower"</a:t>
          </a:r>
          <a:r>
            <a:rPr lang="en-US" sz="1400">
              <a:solidFill>
                <a:schemeClr val="dk1"/>
              </a:solidFill>
              <a:latin typeface="+mn-lt"/>
              <a:ea typeface="+mn-lt"/>
              <a:cs typeface="+mn-lt"/>
            </a:rPr>
            <a:t> </a:t>
          </a:r>
          <a:r>
            <a:rPr lang="en-US" sz="1400" b="1" i="0" u="none" strike="noStrike">
              <a:solidFill>
                <a:schemeClr val="dk1"/>
              </a:solidFill>
              <a:latin typeface="+mn-lt"/>
              <a:ea typeface="+mn-lt"/>
              <a:cs typeface="+mn-lt"/>
            </a:rPr>
            <a:t>The Numbers:</a:t>
          </a:r>
          <a:r>
            <a:rPr lang="en-US" sz="1400" b="0" i="0" u="none" strike="noStrike">
              <a:solidFill>
                <a:schemeClr val="dk1"/>
              </a:solidFill>
              <a:latin typeface="+mn-lt"/>
              <a:ea typeface="+mn-lt"/>
              <a:cs typeface="+mn-lt"/>
            </a:rPr>
            <a:t> DFL (1.15), WACC (9.85%).</a:t>
          </a:r>
          <a:r>
            <a:rPr lang="en-US" sz="1400">
              <a:solidFill>
                <a:schemeClr val="dk1"/>
              </a:solidFill>
              <a:latin typeface="+mn-lt"/>
              <a:ea typeface="+mn-lt"/>
              <a:cs typeface="+mn-lt"/>
            </a:rPr>
            <a:t> </a:t>
          </a:r>
          <a:br>
            <a:rPr lang="en-US" sz="1400">
              <a:solidFill>
                <a:schemeClr val="dk1"/>
              </a:solidFill>
              <a:latin typeface="+mn-lt"/>
              <a:ea typeface="+mn-lt"/>
              <a:cs typeface="+mn-lt"/>
            </a:rPr>
          </a:br>
          <a:r>
            <a:rPr lang="en-US" sz="1400" b="1" i="0" u="none" strike="noStrike">
              <a:solidFill>
                <a:schemeClr val="dk1"/>
              </a:solidFill>
              <a:latin typeface="+mn-lt"/>
              <a:ea typeface="+mn-lt"/>
              <a:cs typeface="+mn-lt"/>
            </a:rPr>
            <a:t>Explanation:</a:t>
          </a:r>
          <a:r>
            <a:rPr lang="en-US" sz="1400" b="0" i="0" u="none" strike="noStrike">
              <a:solidFill>
                <a:schemeClr val="dk1"/>
              </a:solidFill>
              <a:latin typeface="+mn-lt"/>
              <a:ea typeface="+mn-lt"/>
              <a:cs typeface="+mn-lt"/>
            </a:rPr>
            <a:t> Torrent uses the most debt (Highest DFL), but they do it to keep their "cost of doing business" (WACC) the lowest.</a:t>
          </a:r>
          <a:r>
            <a:rPr lang="en-US" sz="1400">
              <a:solidFill>
                <a:schemeClr val="dk1"/>
              </a:solidFill>
              <a:latin typeface="+mn-lt"/>
              <a:ea typeface="+mn-lt"/>
              <a:cs typeface="+mn-lt"/>
            </a:rPr>
            <a:t> </a:t>
          </a:r>
          <a:br>
            <a:rPr lang="en-US" sz="1400">
              <a:solidFill>
                <a:schemeClr val="dk1"/>
              </a:solidFill>
              <a:latin typeface="+mn-lt"/>
              <a:ea typeface="+mn-lt"/>
              <a:cs typeface="+mn-lt"/>
            </a:rPr>
          </a:br>
          <a:r>
            <a:rPr lang="en-US" sz="1400" b="1" i="0" u="none" strike="noStrike">
              <a:solidFill>
                <a:schemeClr val="dk1"/>
              </a:solidFill>
              <a:latin typeface="+mn-lt"/>
              <a:ea typeface="+mn-lt"/>
              <a:cs typeface="+mn-lt"/>
            </a:rPr>
            <a:t>Takeaway:</a:t>
          </a:r>
          <a:r>
            <a:rPr lang="en-US" sz="1400" b="0" i="0" u="none" strike="noStrike">
              <a:solidFill>
                <a:schemeClr val="dk1"/>
              </a:solidFill>
              <a:latin typeface="+mn-lt"/>
              <a:ea typeface="+mn-lt"/>
              <a:cs typeface="+mn-lt"/>
            </a:rPr>
            <a:t> "Torrent is the only one in the group really using debt as a tool. By borrowing, they've actually made their total cost of capital cheaper than even the bigger companies."</a:t>
          </a:r>
          <a:r>
            <a:rPr lang="en-US" sz="1400">
              <a:solidFill>
                <a:schemeClr val="dk1"/>
              </a:solidFill>
              <a:latin typeface="+mn-lt"/>
              <a:ea typeface="+mn-lt"/>
              <a:cs typeface="+mn-lt"/>
            </a:rPr>
            <a:t> </a:t>
          </a:r>
          <a:br>
            <a:rPr lang="en-US" sz="1400">
              <a:solidFill>
                <a:schemeClr val="dk1"/>
              </a:solidFill>
              <a:latin typeface="+mn-lt"/>
              <a:ea typeface="+mn-lt"/>
              <a:cs typeface="+mn-lt"/>
            </a:rPr>
          </a:br>
          <a:r>
            <a:rPr lang="en-US" sz="1400" b="1" i="0" u="none" strike="noStrike">
              <a:solidFill>
                <a:schemeClr val="dk1"/>
              </a:solidFill>
              <a:latin typeface="+mn-lt"/>
              <a:ea typeface="+mn-lt"/>
              <a:cs typeface="+mn-lt"/>
            </a:rPr>
            <a:t>5. Dr. Reddy’s &amp; Cipla: The "Balanced Daily Drivers"</a:t>
          </a:r>
          <a:r>
            <a:rPr lang="en-US" sz="1400">
              <a:solidFill>
                <a:schemeClr val="dk1"/>
              </a:solidFill>
              <a:latin typeface="+mn-lt"/>
              <a:ea typeface="+mn-lt"/>
              <a:cs typeface="+mn-lt"/>
            </a:rPr>
            <a:t> </a:t>
          </a:r>
          <a:r>
            <a:rPr lang="en-US" sz="1400" b="1" i="0" u="none" strike="noStrike">
              <a:solidFill>
                <a:schemeClr val="dk1"/>
              </a:solidFill>
              <a:latin typeface="+mn-lt"/>
              <a:ea typeface="+mn-lt"/>
              <a:cs typeface="+mn-lt"/>
            </a:rPr>
            <a:t>The Numbers:</a:t>
          </a:r>
          <a:r>
            <a:rPr lang="en-US" sz="1400" b="0" i="0" u="none" strike="noStrike">
              <a:solidFill>
                <a:schemeClr val="dk1"/>
              </a:solidFill>
              <a:latin typeface="+mn-lt"/>
              <a:ea typeface="+mn-lt"/>
              <a:cs typeface="+mn-lt"/>
            </a:rPr>
            <a:t> DTL around 2.7 - 2.9.</a:t>
          </a:r>
          <a:r>
            <a:rPr lang="en-US" sz="1400">
              <a:solidFill>
                <a:schemeClr val="dk1"/>
              </a:solidFill>
              <a:latin typeface="+mn-lt"/>
              <a:ea typeface="+mn-lt"/>
              <a:cs typeface="+mn-lt"/>
            </a:rPr>
            <a:t> </a:t>
          </a:r>
          <a:br>
            <a:rPr lang="en-US" sz="1400">
              <a:solidFill>
                <a:schemeClr val="dk1"/>
              </a:solidFill>
              <a:latin typeface="+mn-lt"/>
              <a:ea typeface="+mn-lt"/>
              <a:cs typeface="+mn-lt"/>
            </a:rPr>
          </a:br>
          <a:r>
            <a:rPr lang="en-US" sz="1400" b="1" i="0" u="none" strike="noStrike">
              <a:solidFill>
                <a:schemeClr val="dk1"/>
              </a:solidFill>
              <a:latin typeface="+mn-lt"/>
              <a:ea typeface="+mn-lt"/>
              <a:cs typeface="+mn-lt"/>
            </a:rPr>
            <a:t>Explanation:</a:t>
          </a:r>
          <a:r>
            <a:rPr lang="en-US" sz="1400" b="0" i="0" u="none" strike="noStrike">
              <a:solidFill>
                <a:schemeClr val="dk1"/>
              </a:solidFill>
              <a:latin typeface="+mn-lt"/>
              <a:ea typeface="+mn-lt"/>
              <a:cs typeface="+mn-lt"/>
            </a:rPr>
            <a:t> These two are very similar. They aren't as risky as Lupin, but not as conservative as Divis.</a:t>
          </a:r>
          <a:br>
            <a:rPr lang="en-US" sz="1400" b="0" i="0" u="none" strike="noStrike">
              <a:solidFill>
                <a:schemeClr val="dk1"/>
              </a:solidFill>
              <a:latin typeface="+mn-lt"/>
              <a:ea typeface="+mn-lt"/>
              <a:cs typeface="+mn-lt"/>
            </a:rPr>
          </a:br>
          <a:r>
            <a:rPr lang="en-US" sz="1400" b="1" i="0" u="none" strike="noStrike">
              <a:solidFill>
                <a:schemeClr val="dk1"/>
              </a:solidFill>
              <a:latin typeface="+mn-lt"/>
              <a:ea typeface="+mn-lt"/>
              <a:cs typeface="+mn-lt"/>
            </a:rPr>
            <a:t>Takeaway:</a:t>
          </a:r>
          <a:r>
            <a:rPr lang="en-US" sz="1400" b="0" i="0" u="none" strike="noStrike">
              <a:solidFill>
                <a:schemeClr val="dk1"/>
              </a:solidFill>
              <a:latin typeface="+mn-lt"/>
              <a:ea typeface="+mn-lt"/>
              <a:cs typeface="+mn-lt"/>
            </a:rPr>
            <a:t> "These are your 'middle-of-the-road' companies. They have healthy growth potential without taking on dangerous levels of risk."</a:t>
          </a:r>
          <a:r>
            <a:rPr lang="en-US" sz="1400">
              <a:solidFill>
                <a:schemeClr val="dk1"/>
              </a:solidFill>
              <a:latin typeface="+mn-lt"/>
              <a:ea typeface="+mn-lt"/>
              <a:cs typeface="+mn-lt"/>
            </a:rPr>
            <a:t> </a:t>
          </a:r>
          <a:br>
            <a:rPr lang="en-US" sz="1400">
              <a:solidFill>
                <a:schemeClr val="dk1"/>
              </a:solidFill>
              <a:latin typeface="+mn-lt"/>
              <a:ea typeface="+mn-lt"/>
              <a:cs typeface="+mn-lt"/>
            </a:rPr>
          </a:br>
          <a:r>
            <a:rPr lang="en-US" sz="1400" b="1" i="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Why</a:t>
          </a:r>
          <a:r>
            <a:rPr lang="en-US" sz="1400" b="0" i="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 </a:t>
          </a:r>
          <a:r>
            <a:rPr lang="en-US" sz="1400" b="1" i="0" u="none" strike="noStrike">
              <a:solidFill>
                <a:schemeClr val="dk1"/>
              </a:solidFill>
              <a:latin typeface="+mn-lt"/>
              <a:ea typeface="+mn-lt"/>
              <a:cs typeface="+mn-lt"/>
            </a:rPr>
            <a:t>this Company?</a:t>
          </a:r>
          <a:r>
            <a:rPr lang="en-US" sz="1400">
              <a:solidFill>
                <a:schemeClr val="dk1"/>
              </a:solidFill>
              <a:latin typeface="+mn-lt"/>
              <a:ea typeface="+mn-lt"/>
              <a:cs typeface="+mn-lt"/>
            </a:rPr>
            <a:t> </a:t>
          </a:r>
          <a:br>
            <a:rPr lang="en-US" sz="1400">
              <a:solidFill>
                <a:schemeClr val="dk1"/>
              </a:solidFill>
              <a:latin typeface="+mn-lt"/>
              <a:ea typeface="+mn-lt"/>
              <a:cs typeface="+mn-lt"/>
            </a:rPr>
          </a:br>
          <a:r>
            <a:rPr lang="en-US" sz="1400" b="1" i="0" u="none" strike="noStrike">
              <a:solidFill>
                <a:schemeClr val="dk1"/>
              </a:solidFill>
              <a:latin typeface="+mn-lt"/>
              <a:ea typeface="+mn-lt"/>
              <a:cs typeface="+mn-lt"/>
            </a:rPr>
            <a:t>Maximum Profit Growth</a:t>
          </a:r>
          <a:r>
            <a:rPr lang="en-US" sz="1400">
              <a:solidFill>
                <a:schemeClr val="dk1"/>
              </a:solidFill>
              <a:latin typeface="+mn-lt"/>
              <a:ea typeface="+mn-lt"/>
              <a:cs typeface="+mn-lt"/>
            </a:rPr>
            <a:t> </a:t>
          </a:r>
          <a:r>
            <a:rPr lang="en-US" sz="1400" b="1" i="0" u="none" strike="noStrike">
              <a:solidFill>
                <a:schemeClr val="dk1"/>
              </a:solidFill>
              <a:latin typeface="+mn-lt"/>
              <a:ea typeface="+mn-lt"/>
              <a:cs typeface="+mn-lt"/>
            </a:rPr>
            <a:t>Lupin</a:t>
          </a:r>
          <a:r>
            <a:rPr lang="en-US" sz="1400">
              <a:solidFill>
                <a:schemeClr val="dk1"/>
              </a:solidFill>
              <a:latin typeface="+mn-lt"/>
              <a:ea typeface="+mn-lt"/>
              <a:cs typeface="+mn-lt"/>
            </a:rPr>
            <a:t> </a:t>
          </a:r>
          <a:r>
            <a:rPr lang="en-US" sz="1400" b="0" i="0" u="none" strike="noStrike">
              <a:solidFill>
                <a:schemeClr val="dk1"/>
              </a:solidFill>
              <a:latin typeface="+mn-lt"/>
              <a:ea typeface="+mn-lt"/>
              <a:cs typeface="+mn-lt"/>
            </a:rPr>
            <a:t>Highest Total Leverage (5.37).</a:t>
          </a:r>
          <a:r>
            <a:rPr lang="en-US" sz="1400">
              <a:solidFill>
                <a:schemeClr val="dk1"/>
              </a:solidFill>
              <a:latin typeface="+mn-lt"/>
              <a:ea typeface="+mn-lt"/>
              <a:cs typeface="+mn-lt"/>
            </a:rPr>
            <a:t> </a:t>
          </a:r>
          <a:br>
            <a:rPr lang="en-US" sz="1400">
              <a:solidFill>
                <a:schemeClr val="dk1"/>
              </a:solidFill>
              <a:latin typeface="+mn-lt"/>
              <a:ea typeface="+mn-lt"/>
              <a:cs typeface="+mn-lt"/>
            </a:rPr>
          </a:br>
          <a:r>
            <a:rPr lang="en-US" sz="1400" b="1" i="0" u="none" strike="noStrike">
              <a:solidFill>
                <a:schemeClr val="dk1"/>
              </a:solidFill>
              <a:latin typeface="+mn-lt"/>
              <a:ea typeface="+mn-lt"/>
              <a:cs typeface="+mn-lt"/>
            </a:rPr>
            <a:t>Peace of Mind / Safety</a:t>
          </a:r>
          <a:r>
            <a:rPr lang="en-US" sz="1400">
              <a:solidFill>
                <a:schemeClr val="dk1"/>
              </a:solidFill>
              <a:latin typeface="+mn-lt"/>
              <a:ea typeface="+mn-lt"/>
              <a:cs typeface="+mn-lt"/>
            </a:rPr>
            <a:t> </a:t>
          </a:r>
          <a:r>
            <a:rPr lang="en-US" sz="1400" b="1" i="0" u="none" strike="noStrike">
              <a:solidFill>
                <a:schemeClr val="dk1"/>
              </a:solidFill>
              <a:latin typeface="+mn-lt"/>
              <a:ea typeface="+mn-lt"/>
              <a:cs typeface="+mn-lt"/>
            </a:rPr>
            <a:t>Divis Labs</a:t>
          </a:r>
          <a:r>
            <a:rPr lang="en-US" sz="1400">
              <a:solidFill>
                <a:schemeClr val="dk1"/>
              </a:solidFill>
              <a:latin typeface="+mn-lt"/>
              <a:ea typeface="+mn-lt"/>
              <a:cs typeface="+mn-lt"/>
            </a:rPr>
            <a:t> </a:t>
          </a:r>
          <a:r>
            <a:rPr lang="en-US" sz="1400" b="0" i="0" u="none" strike="noStrike">
              <a:solidFill>
                <a:schemeClr val="dk1"/>
              </a:solidFill>
              <a:latin typeface="+mn-lt"/>
              <a:ea typeface="+mn-lt"/>
              <a:cs typeface="+mn-lt"/>
            </a:rPr>
            <a:t>Lowest Total Leverage (2.16) &amp; Zero Debt.</a:t>
          </a:r>
          <a:r>
            <a:rPr lang="en-US" sz="1400">
              <a:solidFill>
                <a:schemeClr val="dk1"/>
              </a:solidFill>
              <a:latin typeface="+mn-lt"/>
              <a:ea typeface="+mn-lt"/>
              <a:cs typeface="+mn-lt"/>
            </a:rPr>
            <a:t> </a:t>
          </a:r>
          <a:br>
            <a:rPr lang="en-US" sz="1400">
              <a:solidFill>
                <a:schemeClr val="dk1"/>
              </a:solidFill>
              <a:latin typeface="+mn-lt"/>
              <a:ea typeface="+mn-lt"/>
              <a:cs typeface="+mn-lt"/>
            </a:rPr>
          </a:br>
          <a:r>
            <a:rPr lang="en-US" sz="1400" b="1" i="0" u="none" strike="noStrike">
              <a:solidFill>
                <a:schemeClr val="dk1"/>
              </a:solidFill>
              <a:latin typeface="+mn-lt"/>
              <a:ea typeface="+mn-lt"/>
              <a:cs typeface="+mn-lt"/>
            </a:rPr>
            <a:t>Cheapest Capital</a:t>
          </a:r>
          <a:r>
            <a:rPr lang="en-US" sz="1400">
              <a:solidFill>
                <a:schemeClr val="dk1"/>
              </a:solidFill>
              <a:latin typeface="+mn-lt"/>
              <a:ea typeface="+mn-lt"/>
              <a:cs typeface="+mn-lt"/>
            </a:rPr>
            <a:t> </a:t>
          </a:r>
          <a:r>
            <a:rPr lang="en-US" sz="1400" b="1" i="0" u="none" strike="noStrike">
              <a:solidFill>
                <a:schemeClr val="dk1"/>
              </a:solidFill>
              <a:latin typeface="+mn-lt"/>
              <a:ea typeface="+mn-lt"/>
              <a:cs typeface="+mn-lt"/>
            </a:rPr>
            <a:t>Torrent</a:t>
          </a:r>
          <a:r>
            <a:rPr lang="en-US" sz="1400">
              <a:solidFill>
                <a:schemeClr val="dk1"/>
              </a:solidFill>
              <a:latin typeface="+mn-lt"/>
              <a:ea typeface="+mn-lt"/>
              <a:cs typeface="+mn-lt"/>
            </a:rPr>
            <a:t> </a:t>
          </a:r>
          <a:r>
            <a:rPr lang="en-US" sz="1400" b="0" i="0" u="none" strike="noStrike">
              <a:solidFill>
                <a:schemeClr val="dk1"/>
              </a:solidFill>
              <a:latin typeface="+mn-lt"/>
              <a:ea typeface="+mn-lt"/>
              <a:cs typeface="+mn-lt"/>
            </a:rPr>
            <a:t>Lowest WACC (9.85%) due to smart borrowing.</a:t>
          </a:r>
          <a:r>
            <a:rPr lang="en-US" sz="1400">
              <a:solidFill>
                <a:schemeClr val="dk1"/>
              </a:solidFill>
              <a:latin typeface="+mn-lt"/>
              <a:ea typeface="+mn-lt"/>
              <a:cs typeface="+mn-lt"/>
            </a:rPr>
            <a:t> </a:t>
          </a:r>
          <a:br>
            <a:rPr lang="en-US" sz="1400">
              <a:solidFill>
                <a:schemeClr val="dk1"/>
              </a:solidFill>
              <a:latin typeface="+mn-lt"/>
              <a:ea typeface="+mn-lt"/>
              <a:cs typeface="+mn-lt"/>
            </a:rPr>
          </a:br>
          <a:r>
            <a:rPr lang="en-US" sz="1400" b="1" i="0" u="none" strike="noStrike">
              <a:solidFill>
                <a:schemeClr val="dk1"/>
              </a:solidFill>
              <a:latin typeface="+mn-lt"/>
              <a:ea typeface="+mn-lt"/>
              <a:cs typeface="+mn-lt"/>
            </a:rPr>
            <a:t>Pure Market Scale</a:t>
          </a:r>
          <a:r>
            <a:rPr lang="en-US" sz="1400">
              <a:solidFill>
                <a:schemeClr val="dk1"/>
              </a:solidFill>
              <a:latin typeface="+mn-lt"/>
              <a:ea typeface="+mn-lt"/>
              <a:cs typeface="+mn-lt"/>
            </a:rPr>
            <a:t> </a:t>
          </a:r>
          <a:r>
            <a:rPr lang="en-US" sz="1400" b="1" i="0" u="none" strike="noStrike">
              <a:solidFill>
                <a:schemeClr val="dk1"/>
              </a:solidFill>
              <a:latin typeface="+mn-lt"/>
              <a:ea typeface="+mn-lt"/>
              <a:cs typeface="+mn-lt"/>
            </a:rPr>
            <a:t>Sun Pharma</a:t>
          </a:r>
          <a:r>
            <a:rPr lang="en-US" sz="1400">
              <a:solidFill>
                <a:schemeClr val="dk1"/>
              </a:solidFill>
              <a:latin typeface="+mn-lt"/>
              <a:ea typeface="+mn-lt"/>
              <a:cs typeface="+mn-lt"/>
            </a:rPr>
            <a:t> </a:t>
          </a:r>
          <a:r>
            <a:rPr lang="en-US" sz="1400" b="0" i="0" u="none" strike="noStrike">
              <a:solidFill>
                <a:schemeClr val="dk1"/>
              </a:solidFill>
              <a:latin typeface="+mn-lt"/>
              <a:ea typeface="+mn-lt"/>
              <a:cs typeface="+mn-lt"/>
            </a:rPr>
            <a:t>High Operating Leverage but no debt risk.</a:t>
          </a:r>
          <a:r>
            <a:rPr lang="en-US" sz="1400">
              <a:solidFill>
                <a:schemeClr val="dk1"/>
              </a:solidFill>
              <a:latin typeface="+mn-lt"/>
              <a:ea typeface="+mn-lt"/>
              <a:cs typeface="+mn-lt"/>
            </a:rPr>
            <a:t> </a:t>
          </a:r>
        </a:p>
      </xdr:txBody>
    </xdr:sp>
    <xdr:clientData/>
  </xdr:twoCellAnchor>
  <xdr:twoCellAnchor>
    <xdr:from>
      <xdr:col>0</xdr:col>
      <xdr:colOff>28575</xdr:colOff>
      <xdr:row>1</xdr:row>
      <xdr:rowOff>19050</xdr:rowOff>
    </xdr:from>
    <xdr:to>
      <xdr:col>0</xdr:col>
      <xdr:colOff>1009650</xdr:colOff>
      <xdr:row>1</xdr:row>
      <xdr:rowOff>352425</xdr:rowOff>
    </xdr:to>
    <xdr:cxnSp macro="">
      <xdr:nvCxnSpPr>
        <xdr:cNvPr id="3" name="Straight Connector 2">
          <a:extLst>
            <a:ext uri="{FF2B5EF4-FFF2-40B4-BE49-F238E27FC236}">
              <a16:creationId xmlns:a16="http://schemas.microsoft.com/office/drawing/2014/main" id="{5CFA74EA-C512-9A3E-9175-E5566BDB8BAA}"/>
            </a:ext>
            <a:ext uri="{147F2762-F138-4A5C-976F-8EAC2B608ADB}">
              <a16:predDERef xmlns:a16="http://schemas.microsoft.com/office/drawing/2014/main" pred="{E10C8730-7593-16E5-74D4-8F0A9EC7A8D5}"/>
            </a:ext>
          </a:extLst>
        </xdr:cNvPr>
        <xdr:cNvCxnSpPr>
          <a:cxnSpLocks/>
        </xdr:cNvCxnSpPr>
      </xdr:nvCxnSpPr>
      <xdr:spPr>
        <a:xfrm>
          <a:off x="28575" y="209550"/>
          <a:ext cx="981075" cy="33337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733425</xdr:colOff>
      <xdr:row>1</xdr:row>
      <xdr:rowOff>19050</xdr:rowOff>
    </xdr:from>
    <xdr:to>
      <xdr:col>8</xdr:col>
      <xdr:colOff>2028825</xdr:colOff>
      <xdr:row>2</xdr:row>
      <xdr:rowOff>0</xdr:rowOff>
    </xdr:to>
    <xdr:cxnSp macro="">
      <xdr:nvCxnSpPr>
        <xdr:cNvPr id="2" name="Straight Connector 2">
          <a:extLst>
            <a:ext uri="{FF2B5EF4-FFF2-40B4-BE49-F238E27FC236}">
              <a16:creationId xmlns:a16="http://schemas.microsoft.com/office/drawing/2014/main" id="{5C2A9A01-D85A-4944-ACF0-F0E8018F2D40}"/>
            </a:ext>
            <a:ext uri="{147F2762-F138-4A5C-976F-8EAC2B608ADB}">
              <a16:predDERef xmlns:a16="http://schemas.microsoft.com/office/drawing/2014/main" pred="{5CFA74EA-C512-9A3E-9175-E5566BDB8BAA}"/>
            </a:ext>
          </a:extLst>
        </xdr:cNvPr>
        <xdr:cNvCxnSpPr>
          <a:cxnSpLocks/>
        </xdr:cNvCxnSpPr>
      </xdr:nvCxnSpPr>
      <xdr:spPr>
        <a:xfrm>
          <a:off x="6638925" y="209550"/>
          <a:ext cx="2057400" cy="37147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733425</xdr:colOff>
      <xdr:row>7</xdr:row>
      <xdr:rowOff>19050</xdr:rowOff>
    </xdr:from>
    <xdr:to>
      <xdr:col>8</xdr:col>
      <xdr:colOff>2028825</xdr:colOff>
      <xdr:row>8</xdr:row>
      <xdr:rowOff>0</xdr:rowOff>
    </xdr:to>
    <xdr:cxnSp macro="">
      <xdr:nvCxnSpPr>
        <xdr:cNvPr id="4" name="Straight Connector 2">
          <a:extLst>
            <a:ext uri="{FF2B5EF4-FFF2-40B4-BE49-F238E27FC236}">
              <a16:creationId xmlns:a16="http://schemas.microsoft.com/office/drawing/2014/main" id="{50FC2B6A-6EFF-446C-B988-34A22BEB9473}"/>
            </a:ext>
            <a:ext uri="{147F2762-F138-4A5C-976F-8EAC2B608ADB}">
              <a16:predDERef xmlns:a16="http://schemas.microsoft.com/office/drawing/2014/main" pred="{5C2A9A01-D85A-4944-ACF0-F0E8018F2D40}"/>
            </a:ext>
          </a:extLst>
        </xdr:cNvPr>
        <xdr:cNvCxnSpPr>
          <a:cxnSpLocks/>
        </xdr:cNvCxnSpPr>
      </xdr:nvCxnSpPr>
      <xdr:spPr>
        <a:xfrm>
          <a:off x="6638925" y="209550"/>
          <a:ext cx="2057400" cy="37147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733425</xdr:colOff>
      <xdr:row>7</xdr:row>
      <xdr:rowOff>19050</xdr:rowOff>
    </xdr:from>
    <xdr:to>
      <xdr:col>9</xdr:col>
      <xdr:colOff>28575</xdr:colOff>
      <xdr:row>8</xdr:row>
      <xdr:rowOff>9525</xdr:rowOff>
    </xdr:to>
    <xdr:cxnSp macro="">
      <xdr:nvCxnSpPr>
        <xdr:cNvPr id="5" name="Straight Connector 2">
          <a:extLst>
            <a:ext uri="{FF2B5EF4-FFF2-40B4-BE49-F238E27FC236}">
              <a16:creationId xmlns:a16="http://schemas.microsoft.com/office/drawing/2014/main" id="{703A4EFD-73FE-4509-8AF1-7D8883CEDE43}"/>
            </a:ext>
            <a:ext uri="{147F2762-F138-4A5C-976F-8EAC2B608ADB}">
              <a16:predDERef xmlns:a16="http://schemas.microsoft.com/office/drawing/2014/main" pred="{50FC2B6A-6EFF-446C-B988-34A22BEB9473}"/>
            </a:ext>
          </a:extLst>
        </xdr:cNvPr>
        <xdr:cNvCxnSpPr>
          <a:cxnSpLocks/>
        </xdr:cNvCxnSpPr>
      </xdr:nvCxnSpPr>
      <xdr:spPr>
        <a:xfrm>
          <a:off x="6638925" y="2247900"/>
          <a:ext cx="2095500" cy="4286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shp sejwal" refreshedDate="46100.026503009256" createdVersion="8" refreshedVersion="8" minRefreshableVersion="3" recordCount="6" xr:uid="{C75021DA-1A92-429A-8531-0374C2A912EF}">
  <cacheSource type="worksheet">
    <worksheetSource ref="A2:E8" sheet="Comparative Analysis"/>
  </cacheSource>
  <cacheFields count="5">
    <cacheField name="Company" numFmtId="0">
      <sharedItems count="6">
        <s v="Sun Pharma"/>
        <s v="Dr. Reddy"/>
        <s v="Cipla"/>
        <s v="Lupin"/>
        <s v="Divis"/>
        <s v="Torrent"/>
      </sharedItems>
    </cacheField>
    <cacheField name="DOL" numFmtId="0">
      <sharedItems containsSemiMixedTypes="0" containsString="0" containsNumber="1" minValue="2.1546629732225302" maxValue="4.759854126735628" count="6">
        <n v="3.2751775504222009"/>
        <n v="2.678622883083698"/>
        <n v="2.8708031037090493"/>
        <n v="4.759854126735628"/>
        <n v="2.1546629732225302"/>
        <n v="2.9109610558567747"/>
      </sharedItems>
    </cacheField>
    <cacheField name="DFL" numFmtId="0">
      <sharedItems containsSemiMixedTypes="0" containsString="0" containsNumber="1" minValue="1.0013869625520111" maxValue="1.1503160991620289"/>
    </cacheField>
    <cacheField name="DTL" numFmtId="0">
      <sharedItems containsSemiMixedTypes="0" containsString="0" containsNumber="1" minValue="2.1576514100785946" maxValue="5.3721798148018181"/>
    </cacheField>
    <cacheField name="WACC" numFmtId="0">
      <sharedItems containsSemiMixedTypes="0" containsString="0" containsNumber="1" minValue="9.8457465085626777E-2" maxValue="0.1224333728147075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n v="1.0215072479975902"/>
    <n v="3.3456176062352712"/>
    <n v="0.10864505746814636"/>
  </r>
  <r>
    <x v="1"/>
    <x v="1"/>
    <n v="1.0238091924912682"/>
    <n v="2.7423987309185538"/>
    <n v="0.10264915776687984"/>
  </r>
  <r>
    <x v="2"/>
    <x v="2"/>
    <n v="1.0157631666637437"/>
    <n v="2.9160560514916076"/>
    <n v="0.11117743084447271"/>
  </r>
  <r>
    <x v="3"/>
    <x v="3"/>
    <n v="1.1286437928059219"/>
    <n v="5.3721798148018181"/>
    <n v="0.12243337281470759"/>
  </r>
  <r>
    <x v="4"/>
    <x v="4"/>
    <n v="1.0013869625520111"/>
    <n v="2.1576514100785946"/>
    <n v="0.11402756516215738"/>
  </r>
  <r>
    <x v="5"/>
    <x v="5"/>
    <n v="1.1503160991620289"/>
    <n v="3.3485253665857462"/>
    <n v="9.8457465085626777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BBE773-4B16-46EC-9CDB-F6AD2032AF0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E18" firstHeaderRow="0" firstDataRow="1" firstDataCol="1"/>
  <pivotFields count="5">
    <pivotField axis="axisRow" showAll="0">
      <items count="7">
        <item x="2"/>
        <item x="4"/>
        <item x="1"/>
        <item x="3"/>
        <item x="0"/>
        <item x="5"/>
        <item t="default"/>
      </items>
    </pivotField>
    <pivotField dataField="1" showAll="0">
      <items count="7">
        <item x="4"/>
        <item x="1"/>
        <item x="2"/>
        <item x="5"/>
        <item x="0"/>
        <item x="3"/>
        <item t="default"/>
      </items>
    </pivotField>
    <pivotField dataField="1" showAll="0"/>
    <pivotField dataField="1" showAll="0"/>
    <pivotField dataField="1" showAll="0"/>
  </pivotFields>
  <rowFields count="1">
    <field x="0"/>
  </rowFields>
  <rowItems count="7">
    <i>
      <x/>
    </i>
    <i>
      <x v="1"/>
    </i>
    <i>
      <x v="2"/>
    </i>
    <i>
      <x v="3"/>
    </i>
    <i>
      <x v="4"/>
    </i>
    <i>
      <x v="5"/>
    </i>
    <i t="grand">
      <x/>
    </i>
  </rowItems>
  <colFields count="1">
    <field x="-2"/>
  </colFields>
  <colItems count="4">
    <i>
      <x/>
    </i>
    <i i="1">
      <x v="1"/>
    </i>
    <i i="2">
      <x v="2"/>
    </i>
    <i i="3">
      <x v="3"/>
    </i>
  </colItems>
  <dataFields count="4">
    <dataField name="Sum of DOL" fld="1" baseField="0" baseItem="0"/>
    <dataField name="Sum of DTL" fld="3" baseField="0" baseItem="0"/>
    <dataField name="Sum of WACC" fld="4" baseField="0" baseItem="0"/>
    <dataField name="Sum of DFL" fld="2" baseField="0" baseItem="0"/>
  </dataFields>
  <formats count="1">
    <format dxfId="0">
      <pivotArea collapsedLevelsAreSubtotals="1" fieldPosition="0">
        <references count="1">
          <reference field="0" count="0"/>
        </references>
      </pivotArea>
    </format>
  </formats>
  <chartFormats count="4">
    <chartFormat chart="0" format="12" series="1">
      <pivotArea type="data" outline="0" fieldPosition="0">
        <references count="1">
          <reference field="4294967294" count="1" selected="0">
            <x v="0"/>
          </reference>
        </references>
      </pivotArea>
    </chartFormat>
    <chartFormat chart="0" format="13" series="1">
      <pivotArea type="data" outline="0" fieldPosition="0">
        <references count="1">
          <reference field="4294967294" count="1" selected="0">
            <x v="1"/>
          </reference>
        </references>
      </pivotArea>
    </chartFormat>
    <chartFormat chart="0" format="14" series="1">
      <pivotArea type="data" outline="0" fieldPosition="0">
        <references count="1">
          <reference field="4294967294" count="1" selected="0">
            <x v="2"/>
          </reference>
        </references>
      </pivotArea>
    </chartFormat>
    <chartFormat chart="0" format="15"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hyperlink" Target="https://finance.yahoo.com/quote/%5ECNXPHARMA/"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33FED-4653-493D-9939-829393DA97FE}">
  <dimension ref="A2:I252"/>
  <sheetViews>
    <sheetView workbookViewId="0">
      <selection sqref="A1:I1048576"/>
    </sheetView>
  </sheetViews>
  <sheetFormatPr defaultRowHeight="14.4"/>
  <cols>
    <col min="1" max="1" width="11.109375" bestFit="1" customWidth="1"/>
    <col min="2" max="2" width="12.6640625" bestFit="1" customWidth="1"/>
    <col min="3" max="3" width="14.88671875" bestFit="1" customWidth="1"/>
    <col min="8" max="8" width="25.6640625" bestFit="1" customWidth="1"/>
    <col min="9" max="9" width="12" bestFit="1" customWidth="1"/>
  </cols>
  <sheetData>
    <row r="2" spans="1:9">
      <c r="C2" t="s">
        <v>0</v>
      </c>
    </row>
    <row r="3" spans="1:9">
      <c r="A3" t="s">
        <v>1</v>
      </c>
      <c r="B3" t="s">
        <v>2</v>
      </c>
      <c r="C3" t="s">
        <v>2</v>
      </c>
      <c r="D3" t="s">
        <v>3</v>
      </c>
      <c r="E3" t="s">
        <v>3</v>
      </c>
      <c r="H3" t="s">
        <v>4</v>
      </c>
      <c r="I3" t="s">
        <v>5</v>
      </c>
    </row>
    <row r="4" spans="1:9">
      <c r="A4" t="s">
        <v>6</v>
      </c>
      <c r="B4" t="s">
        <v>7</v>
      </c>
      <c r="C4" t="s">
        <v>0</v>
      </c>
      <c r="D4" t="s">
        <v>8</v>
      </c>
      <c r="E4" t="s">
        <v>9</v>
      </c>
      <c r="H4">
        <f>_xlfn.COVARIANCE.S(D7:D252,E7:E252)</f>
        <v>9.8848110444448413E-5</v>
      </c>
      <c r="I4">
        <f>_xlfn.VAR.S(D7:D252)</f>
        <v>1.0123143075821166E-4</v>
      </c>
    </row>
    <row r="5" spans="1:9">
      <c r="A5" t="s">
        <v>10</v>
      </c>
    </row>
    <row r="6" spans="1:9">
      <c r="A6" s="2">
        <v>45383</v>
      </c>
      <c r="B6">
        <v>19207.900390625</v>
      </c>
      <c r="C6">
        <v>1598.68884277343</v>
      </c>
      <c r="H6" t="s">
        <v>11</v>
      </c>
    </row>
    <row r="7" spans="1:9">
      <c r="A7" s="2">
        <v>45384</v>
      </c>
      <c r="B7">
        <v>19185.150390625</v>
      </c>
      <c r="C7">
        <v>1591.82019042968</v>
      </c>
      <c r="D7">
        <f>(B7-B6)/B6</f>
        <v>-1.1844084744995777E-3</v>
      </c>
      <c r="E7">
        <f>(C7-C6)/C6</f>
        <v>-4.2964285231603646E-3</v>
      </c>
      <c r="H7">
        <f>H4/I4</f>
        <v>0.97645671610178331</v>
      </c>
    </row>
    <row r="8" spans="1:9">
      <c r="A8" s="2">
        <v>45385</v>
      </c>
      <c r="B8">
        <v>19153.05078125</v>
      </c>
      <c r="C8">
        <v>1589.46520996093</v>
      </c>
      <c r="D8">
        <f t="shared" ref="D8:D71" si="0">(B8-B7)/B7</f>
        <v>-1.6731486968528414E-3</v>
      </c>
      <c r="E8">
        <f t="shared" ref="E8:E71" si="1">(C8-C7)/C7</f>
        <v>-1.479426183251464E-3</v>
      </c>
    </row>
    <row r="9" spans="1:9">
      <c r="A9" s="2">
        <v>45386</v>
      </c>
      <c r="B9">
        <v>19125.19921875</v>
      </c>
      <c r="C9">
        <v>1588.974609375</v>
      </c>
      <c r="D9">
        <f t="shared" si="0"/>
        <v>-1.4541580251677432E-3</v>
      </c>
      <c r="E9">
        <f t="shared" si="1"/>
        <v>-3.0865764337305372E-4</v>
      </c>
      <c r="H9" t="s">
        <v>12</v>
      </c>
    </row>
    <row r="10" spans="1:9">
      <c r="A10" s="2">
        <v>45387</v>
      </c>
      <c r="B10">
        <v>19160.75</v>
      </c>
      <c r="C10">
        <v>1578.81872558593</v>
      </c>
      <c r="D10">
        <f t="shared" si="0"/>
        <v>1.8588450161160495E-3</v>
      </c>
      <c r="E10">
        <f t="shared" si="1"/>
        <v>-6.3914701526065747E-3</v>
      </c>
      <c r="H10">
        <f>AVERAGE(D7:D252)</f>
        <v>4.3962859287504746E-4</v>
      </c>
    </row>
    <row r="11" spans="1:9">
      <c r="A11" s="2">
        <v>45390</v>
      </c>
      <c r="B11">
        <v>19218.849609375</v>
      </c>
      <c r="C11">
        <v>1569.69311523437</v>
      </c>
      <c r="D11">
        <f t="shared" si="0"/>
        <v>3.0322200005219002E-3</v>
      </c>
      <c r="E11">
        <f t="shared" si="1"/>
        <v>-5.7800241431601399E-3</v>
      </c>
    </row>
    <row r="12" spans="1:9">
      <c r="A12" s="2">
        <v>45391</v>
      </c>
      <c r="B12">
        <v>19182.30078125</v>
      </c>
      <c r="C12">
        <v>1572.48986816406</v>
      </c>
      <c r="D12">
        <f t="shared" si="0"/>
        <v>-1.901717785812289E-3</v>
      </c>
      <c r="E12">
        <f t="shared" si="1"/>
        <v>1.7817195619619058E-3</v>
      </c>
    </row>
    <row r="13" spans="1:9">
      <c r="A13" s="2">
        <v>45392</v>
      </c>
      <c r="B13">
        <v>19117</v>
      </c>
      <c r="C13">
        <v>1573.96166992187</v>
      </c>
      <c r="D13">
        <f t="shared" si="0"/>
        <v>-3.4042204840114454E-3</v>
      </c>
      <c r="E13">
        <f t="shared" si="1"/>
        <v>9.3596899261957206E-4</v>
      </c>
    </row>
    <row r="14" spans="1:9">
      <c r="A14" s="2">
        <v>45394</v>
      </c>
      <c r="B14">
        <v>18788.650390625</v>
      </c>
      <c r="C14">
        <v>1511.11303710937</v>
      </c>
      <c r="D14">
        <f t="shared" si="0"/>
        <v>-1.717579167102579E-2</v>
      </c>
      <c r="E14">
        <f t="shared" si="1"/>
        <v>-3.9930218132706974E-2</v>
      </c>
    </row>
    <row r="15" spans="1:9">
      <c r="A15" s="2">
        <v>45397</v>
      </c>
      <c r="B15">
        <v>18617.650390625</v>
      </c>
      <c r="C15">
        <v>1511.16223144531</v>
      </c>
      <c r="D15">
        <f t="shared" si="0"/>
        <v>-9.1012391228123615E-3</v>
      </c>
      <c r="E15">
        <f t="shared" si="1"/>
        <v>3.2555033761144477E-5</v>
      </c>
    </row>
    <row r="16" spans="1:9">
      <c r="A16" s="2">
        <v>45398</v>
      </c>
      <c r="B16">
        <v>18695.599609375</v>
      </c>
      <c r="C16">
        <v>1508.70910644531</v>
      </c>
      <c r="D16">
        <f t="shared" si="0"/>
        <v>4.1868451235528448E-3</v>
      </c>
      <c r="E16">
        <f t="shared" si="1"/>
        <v>-1.6233366272354328E-3</v>
      </c>
    </row>
    <row r="17" spans="1:5">
      <c r="A17" s="2">
        <v>45400</v>
      </c>
      <c r="B17">
        <v>18525.75</v>
      </c>
      <c r="C17">
        <v>1487.95568847656</v>
      </c>
      <c r="D17">
        <f t="shared" si="0"/>
        <v>-9.0850046494271343E-3</v>
      </c>
      <c r="E17">
        <f t="shared" si="1"/>
        <v>-1.3755745146688621E-2</v>
      </c>
    </row>
    <row r="18" spans="1:5">
      <c r="A18" s="2">
        <v>45401</v>
      </c>
      <c r="B18">
        <v>18404.599609375</v>
      </c>
      <c r="C18">
        <v>1494.23571777343</v>
      </c>
      <c r="D18">
        <f t="shared" si="0"/>
        <v>-6.5395673926831573E-3</v>
      </c>
      <c r="E18">
        <f t="shared" si="1"/>
        <v>4.2205754818544303E-3</v>
      </c>
    </row>
    <row r="19" spans="1:5">
      <c r="A19" s="2">
        <v>45404</v>
      </c>
      <c r="B19">
        <v>18643</v>
      </c>
      <c r="C19">
        <v>1511.21118164062</v>
      </c>
      <c r="D19">
        <f t="shared" si="0"/>
        <v>1.2953304917514357E-2</v>
      </c>
      <c r="E19">
        <f t="shared" si="1"/>
        <v>1.1360633175390324E-2</v>
      </c>
    </row>
    <row r="20" spans="1:5">
      <c r="A20" s="2">
        <v>45405</v>
      </c>
      <c r="B20">
        <v>18463.75</v>
      </c>
      <c r="C20">
        <v>1456.80126953125</v>
      </c>
      <c r="D20">
        <f t="shared" si="0"/>
        <v>-9.6148688515796821E-3</v>
      </c>
      <c r="E20">
        <f t="shared" si="1"/>
        <v>-3.6004175174445721E-2</v>
      </c>
    </row>
    <row r="21" spans="1:5">
      <c r="A21" s="2">
        <v>45406</v>
      </c>
      <c r="B21">
        <v>18586.19921875</v>
      </c>
      <c r="C21">
        <v>1457.88061523437</v>
      </c>
      <c r="D21">
        <f t="shared" si="0"/>
        <v>6.6318715726761896E-3</v>
      </c>
      <c r="E21">
        <f t="shared" si="1"/>
        <v>7.4090112748686381E-4</v>
      </c>
    </row>
    <row r="22" spans="1:5">
      <c r="A22" s="2">
        <v>45407</v>
      </c>
      <c r="B22">
        <v>18878.150390625</v>
      </c>
      <c r="C22">
        <v>1491.63537597656</v>
      </c>
      <c r="D22">
        <f t="shared" si="0"/>
        <v>1.5707954511779677E-2</v>
      </c>
      <c r="E22">
        <f t="shared" si="1"/>
        <v>2.3153309255548035E-2</v>
      </c>
    </row>
    <row r="23" spans="1:5">
      <c r="A23" s="2">
        <v>45408</v>
      </c>
      <c r="B23">
        <v>18994.650390625</v>
      </c>
      <c r="C23">
        <v>1478.29064941406</v>
      </c>
      <c r="D23">
        <f t="shared" si="0"/>
        <v>6.1711554145608772E-3</v>
      </c>
      <c r="E23">
        <f t="shared" si="1"/>
        <v>-8.9463730730865304E-3</v>
      </c>
    </row>
    <row r="24" spans="1:5">
      <c r="A24" s="2">
        <v>45411</v>
      </c>
      <c r="B24">
        <v>19096.900390625</v>
      </c>
      <c r="C24">
        <v>1493.05822753906</v>
      </c>
      <c r="D24">
        <f t="shared" si="0"/>
        <v>5.3830946028080888E-3</v>
      </c>
      <c r="E24">
        <f t="shared" si="1"/>
        <v>9.9896310179959022E-3</v>
      </c>
    </row>
    <row r="25" spans="1:5">
      <c r="A25" s="2">
        <v>45412</v>
      </c>
      <c r="B25">
        <v>18970.599609375</v>
      </c>
      <c r="C25">
        <v>1473.92395019531</v>
      </c>
      <c r="D25">
        <f t="shared" si="0"/>
        <v>-6.6136796373511613E-3</v>
      </c>
      <c r="E25">
        <f t="shared" si="1"/>
        <v>-1.2815493053668884E-2</v>
      </c>
    </row>
    <row r="26" spans="1:5">
      <c r="A26" s="2">
        <v>45414</v>
      </c>
      <c r="B26">
        <v>19124.44921875</v>
      </c>
      <c r="C26">
        <v>1490.50708007812</v>
      </c>
      <c r="D26">
        <f t="shared" si="0"/>
        <v>8.1098970271329604E-3</v>
      </c>
      <c r="E26">
        <f t="shared" si="1"/>
        <v>1.12510078153032E-2</v>
      </c>
    </row>
    <row r="27" spans="1:5">
      <c r="A27" s="2">
        <v>45415</v>
      </c>
      <c r="B27">
        <v>19133.400390625</v>
      </c>
      <c r="C27">
        <v>1482.80419921875</v>
      </c>
      <c r="D27">
        <f t="shared" si="0"/>
        <v>4.6804861006005281E-4</v>
      </c>
      <c r="E27">
        <f t="shared" si="1"/>
        <v>-5.1679599260717884E-3</v>
      </c>
    </row>
    <row r="28" spans="1:5">
      <c r="A28" s="2">
        <v>45418</v>
      </c>
      <c r="B28">
        <v>19203.30078125</v>
      </c>
      <c r="C28">
        <v>1500.46655273437</v>
      </c>
      <c r="D28">
        <f t="shared" si="0"/>
        <v>3.6533177165544422E-3</v>
      </c>
      <c r="E28">
        <f t="shared" si="1"/>
        <v>1.191145366659052E-2</v>
      </c>
    </row>
    <row r="29" spans="1:5">
      <c r="A29" s="2">
        <v>45419</v>
      </c>
      <c r="B29">
        <v>18846.30078125</v>
      </c>
      <c r="C29">
        <v>1486.92529296875</v>
      </c>
      <c r="D29">
        <f t="shared" si="0"/>
        <v>-1.8590553992081031E-2</v>
      </c>
      <c r="E29">
        <f t="shared" si="1"/>
        <v>-9.0246995115906645E-3</v>
      </c>
    </row>
    <row r="30" spans="1:5">
      <c r="A30" s="2">
        <v>45420</v>
      </c>
      <c r="B30">
        <v>18850.849609375</v>
      </c>
      <c r="C30">
        <v>1493.20544433593</v>
      </c>
      <c r="D30">
        <f t="shared" si="0"/>
        <v>2.4136450849418601E-4</v>
      </c>
      <c r="E30">
        <f t="shared" si="1"/>
        <v>4.2235823123576276E-3</v>
      </c>
    </row>
    <row r="31" spans="1:5">
      <c r="A31" s="2">
        <v>45421</v>
      </c>
      <c r="B31">
        <v>18437.05078125</v>
      </c>
      <c r="C31">
        <v>1466.61376953125</v>
      </c>
      <c r="D31">
        <f t="shared" si="0"/>
        <v>-2.1951203086316463E-2</v>
      </c>
      <c r="E31">
        <f t="shared" si="1"/>
        <v>-1.7808450207269406E-2</v>
      </c>
    </row>
    <row r="32" spans="1:5">
      <c r="A32" s="2">
        <v>45422</v>
      </c>
      <c r="B32">
        <v>18609.44921875</v>
      </c>
      <c r="C32">
        <v>1478.29064941406</v>
      </c>
      <c r="D32">
        <f t="shared" si="0"/>
        <v>9.3506515518916242E-3</v>
      </c>
      <c r="E32">
        <f t="shared" si="1"/>
        <v>7.9617961629680403E-3</v>
      </c>
    </row>
    <row r="33" spans="1:5">
      <c r="A33" s="2">
        <v>45425</v>
      </c>
      <c r="B33">
        <v>18939</v>
      </c>
      <c r="C33">
        <v>1496.44360351562</v>
      </c>
      <c r="D33">
        <f t="shared" si="0"/>
        <v>1.7708787475448774E-2</v>
      </c>
      <c r="E33">
        <f t="shared" si="1"/>
        <v>1.2279692162535941E-2</v>
      </c>
    </row>
    <row r="34" spans="1:5">
      <c r="A34" s="2">
        <v>45426</v>
      </c>
      <c r="B34">
        <v>18860.849609375</v>
      </c>
      <c r="C34">
        <v>1516.26452636718</v>
      </c>
      <c r="D34">
        <f t="shared" si="0"/>
        <v>-4.1264264546702571E-3</v>
      </c>
      <c r="E34">
        <f t="shared" si="1"/>
        <v>1.3245352384142225E-2</v>
      </c>
    </row>
    <row r="35" spans="1:5">
      <c r="A35" s="2">
        <v>45427</v>
      </c>
      <c r="B35">
        <v>18886.55078125</v>
      </c>
      <c r="C35">
        <v>1498.74926757812</v>
      </c>
      <c r="D35">
        <f t="shared" si="0"/>
        <v>1.3626730718548829E-3</v>
      </c>
      <c r="E35">
        <f t="shared" si="1"/>
        <v>-1.1551585151850006E-2</v>
      </c>
    </row>
    <row r="36" spans="1:5">
      <c r="A36" s="2">
        <v>45428</v>
      </c>
      <c r="B36">
        <v>18996.150390625</v>
      </c>
      <c r="C36">
        <v>1507.48254394531</v>
      </c>
      <c r="D36">
        <f t="shared" si="0"/>
        <v>5.8030505752171115E-3</v>
      </c>
      <c r="E36">
        <f t="shared" si="1"/>
        <v>5.8270429591618083E-3</v>
      </c>
    </row>
    <row r="37" spans="1:5">
      <c r="A37" s="2">
        <v>45429</v>
      </c>
      <c r="B37">
        <v>18981.599609375</v>
      </c>
      <c r="C37">
        <v>1502.67456054687</v>
      </c>
      <c r="D37">
        <f t="shared" si="0"/>
        <v>-7.6598578926713055E-4</v>
      </c>
      <c r="E37">
        <f t="shared" si="1"/>
        <v>-3.1894123203952867E-3</v>
      </c>
    </row>
    <row r="38" spans="1:5">
      <c r="A38" s="2">
        <v>45433</v>
      </c>
      <c r="B38">
        <v>19205.19921875</v>
      </c>
      <c r="C38">
        <v>1512.04528808593</v>
      </c>
      <c r="D38">
        <f t="shared" si="0"/>
        <v>1.17798085502006E-2</v>
      </c>
      <c r="E38">
        <f t="shared" si="1"/>
        <v>6.2360325948751672E-3</v>
      </c>
    </row>
    <row r="39" spans="1:5">
      <c r="A39" s="2">
        <v>45434</v>
      </c>
      <c r="B39">
        <v>19317.400390625</v>
      </c>
      <c r="C39">
        <v>1510.42614746093</v>
      </c>
      <c r="D39">
        <f t="shared" si="0"/>
        <v>5.842229002522307E-3</v>
      </c>
      <c r="E39">
        <f t="shared" si="1"/>
        <v>-1.0708281278067008E-3</v>
      </c>
    </row>
    <row r="40" spans="1:5">
      <c r="A40" s="2">
        <v>45435</v>
      </c>
      <c r="B40">
        <v>19216.349609375</v>
      </c>
      <c r="C40">
        <v>1467.05517578125</v>
      </c>
      <c r="D40">
        <f t="shared" si="0"/>
        <v>-5.2310755695182121E-3</v>
      </c>
      <c r="E40">
        <f t="shared" si="1"/>
        <v>-2.8714394114924355E-2</v>
      </c>
    </row>
    <row r="41" spans="1:5">
      <c r="A41" s="2">
        <v>45436</v>
      </c>
      <c r="B41">
        <v>19119.5</v>
      </c>
      <c r="C41">
        <v>1458.81286621093</v>
      </c>
      <c r="D41">
        <f t="shared" si="0"/>
        <v>-5.0399587509456214E-3</v>
      </c>
      <c r="E41">
        <f t="shared" si="1"/>
        <v>-5.6182682876468716E-3</v>
      </c>
    </row>
    <row r="42" spans="1:5">
      <c r="A42" s="2">
        <v>45439</v>
      </c>
      <c r="B42">
        <v>19111.94921875</v>
      </c>
      <c r="C42">
        <v>1438.55029296875</v>
      </c>
      <c r="D42">
        <f t="shared" si="0"/>
        <v>-3.9492566489709459E-4</v>
      </c>
      <c r="E42">
        <f t="shared" si="1"/>
        <v>-1.3889768668416878E-2</v>
      </c>
    </row>
    <row r="43" spans="1:5">
      <c r="A43" s="2">
        <v>45440</v>
      </c>
      <c r="B43">
        <v>19215.75</v>
      </c>
      <c r="C43">
        <v>1437.42175292968</v>
      </c>
      <c r="D43">
        <f t="shared" si="0"/>
        <v>5.4311980458887485E-3</v>
      </c>
      <c r="E43">
        <f t="shared" si="1"/>
        <v>-7.8449814690943092E-4</v>
      </c>
    </row>
    <row r="44" spans="1:5">
      <c r="A44" s="2">
        <v>45441</v>
      </c>
      <c r="B44">
        <v>19321.349609375</v>
      </c>
      <c r="C44">
        <v>1451.20812988281</v>
      </c>
      <c r="D44">
        <f t="shared" si="0"/>
        <v>5.4954716508593213E-3</v>
      </c>
      <c r="E44">
        <f t="shared" si="1"/>
        <v>9.5910451647411819E-3</v>
      </c>
    </row>
    <row r="45" spans="1:5">
      <c r="A45" s="2">
        <v>45442</v>
      </c>
      <c r="B45">
        <v>18971</v>
      </c>
      <c r="C45">
        <v>1431.73059082031</v>
      </c>
      <c r="D45">
        <f t="shared" si="0"/>
        <v>-1.8132771077492706E-2</v>
      </c>
      <c r="E45">
        <f t="shared" si="1"/>
        <v>-1.3421602774560585E-2</v>
      </c>
    </row>
    <row r="46" spans="1:5">
      <c r="A46" s="2">
        <v>45443</v>
      </c>
      <c r="B46">
        <v>18796.30078125</v>
      </c>
      <c r="C46">
        <v>1432.41748046875</v>
      </c>
      <c r="D46">
        <f t="shared" si="0"/>
        <v>-9.2087511860207694E-3</v>
      </c>
      <c r="E46">
        <f t="shared" si="1"/>
        <v>4.7976180214634353E-4</v>
      </c>
    </row>
    <row r="47" spans="1:5">
      <c r="A47" s="2">
        <v>45446</v>
      </c>
      <c r="B47">
        <v>18864.150390625</v>
      </c>
      <c r="C47">
        <v>1425.79406738281</v>
      </c>
      <c r="D47">
        <f t="shared" si="0"/>
        <v>3.6097320512492796E-3</v>
      </c>
      <c r="E47">
        <f t="shared" si="1"/>
        <v>-4.6239404197807813E-3</v>
      </c>
    </row>
    <row r="48" spans="1:5">
      <c r="A48" s="2">
        <v>45447</v>
      </c>
      <c r="B48">
        <v>18603.150390625</v>
      </c>
      <c r="C48">
        <v>1403.029296875</v>
      </c>
      <c r="D48">
        <f t="shared" si="0"/>
        <v>-1.3835767558856524E-2</v>
      </c>
      <c r="E48">
        <f t="shared" si="1"/>
        <v>-1.5966380439215215E-2</v>
      </c>
    </row>
    <row r="49" spans="1:5">
      <c r="A49" s="2">
        <v>45448</v>
      </c>
      <c r="B49">
        <v>19281.25</v>
      </c>
      <c r="C49">
        <v>1459.40148925781</v>
      </c>
      <c r="D49">
        <f t="shared" si="0"/>
        <v>3.6450794362052043E-2</v>
      </c>
      <c r="E49">
        <f t="shared" si="1"/>
        <v>4.0178913233222646E-2</v>
      </c>
    </row>
    <row r="50" spans="1:5">
      <c r="A50" s="2">
        <v>45449</v>
      </c>
      <c r="B50">
        <v>19232.099609375</v>
      </c>
      <c r="C50">
        <v>1445.07543945312</v>
      </c>
      <c r="D50">
        <f t="shared" si="0"/>
        <v>-2.5491288492706645E-3</v>
      </c>
      <c r="E50">
        <f t="shared" si="1"/>
        <v>-9.816386998464436E-3</v>
      </c>
    </row>
    <row r="51" spans="1:5">
      <c r="A51" s="2">
        <v>45450</v>
      </c>
      <c r="B51">
        <v>19578</v>
      </c>
      <c r="C51">
        <v>1478.58483886718</v>
      </c>
      <c r="D51">
        <f t="shared" si="0"/>
        <v>1.7985576075967558E-2</v>
      </c>
      <c r="E51">
        <f t="shared" si="1"/>
        <v>2.3188685171164094E-2</v>
      </c>
    </row>
    <row r="52" spans="1:5">
      <c r="A52" s="2">
        <v>45453</v>
      </c>
      <c r="B52">
        <v>19774.69921875</v>
      </c>
      <c r="C52">
        <v>1484.71765136718</v>
      </c>
      <c r="D52">
        <f t="shared" si="0"/>
        <v>1.0046951616610482E-2</v>
      </c>
      <c r="E52">
        <f t="shared" si="1"/>
        <v>4.1477582745259745E-3</v>
      </c>
    </row>
    <row r="53" spans="1:5">
      <c r="A53" s="2">
        <v>45454</v>
      </c>
      <c r="B53">
        <v>19689.69921875</v>
      </c>
      <c r="C53">
        <v>1471.61804199218</v>
      </c>
      <c r="D53">
        <f t="shared" si="0"/>
        <v>-4.2984218905036285E-3</v>
      </c>
      <c r="E53">
        <f t="shared" si="1"/>
        <v>-8.8229633175960567E-3</v>
      </c>
    </row>
    <row r="54" spans="1:5">
      <c r="A54" s="2">
        <v>45455</v>
      </c>
      <c r="B54">
        <v>19739.099609375</v>
      </c>
      <c r="C54">
        <v>1478.58483886718</v>
      </c>
      <c r="D54">
        <f t="shared" si="0"/>
        <v>2.5089459252865204E-3</v>
      </c>
      <c r="E54">
        <f t="shared" si="1"/>
        <v>4.7341067289232248E-3</v>
      </c>
    </row>
    <row r="55" spans="1:5">
      <c r="A55" s="2">
        <v>45456</v>
      </c>
      <c r="B55">
        <v>19838.5</v>
      </c>
      <c r="C55">
        <v>1482.4609375</v>
      </c>
      <c r="D55">
        <f t="shared" si="0"/>
        <v>5.0357104727203573E-3</v>
      </c>
      <c r="E55">
        <f t="shared" si="1"/>
        <v>2.6214922072308562E-3</v>
      </c>
    </row>
    <row r="56" spans="1:5">
      <c r="A56" s="2">
        <v>45457</v>
      </c>
      <c r="B56">
        <v>19895.650390625</v>
      </c>
      <c r="C56">
        <v>1487.56335449218</v>
      </c>
      <c r="D56">
        <f t="shared" si="0"/>
        <v>2.8807818446455126E-3</v>
      </c>
      <c r="E56">
        <f t="shared" si="1"/>
        <v>3.441855945819818E-3</v>
      </c>
    </row>
    <row r="57" spans="1:5">
      <c r="A57" s="2">
        <v>45461</v>
      </c>
      <c r="B57">
        <v>19826.650390625</v>
      </c>
      <c r="C57">
        <v>1492.42028808593</v>
      </c>
      <c r="D57">
        <f t="shared" si="0"/>
        <v>-3.4680947164468364E-3</v>
      </c>
      <c r="E57">
        <f t="shared" si="1"/>
        <v>3.2650263796045486E-3</v>
      </c>
    </row>
    <row r="58" spans="1:5">
      <c r="A58" s="2">
        <v>45462</v>
      </c>
      <c r="B58">
        <v>19644.5</v>
      </c>
      <c r="C58">
        <v>1475.78845214843</v>
      </c>
      <c r="D58">
        <f t="shared" si="0"/>
        <v>-9.1871489654717226E-3</v>
      </c>
      <c r="E58">
        <f t="shared" si="1"/>
        <v>-1.1144203861521332E-2</v>
      </c>
    </row>
    <row r="59" spans="1:5">
      <c r="A59" s="2">
        <v>45463</v>
      </c>
      <c r="B59">
        <v>19544.55078125</v>
      </c>
      <c r="C59">
        <v>1443.40747070312</v>
      </c>
      <c r="D59">
        <f t="shared" si="0"/>
        <v>-5.0878983303214642E-3</v>
      </c>
      <c r="E59">
        <f t="shared" si="1"/>
        <v>-2.1941479077282566E-2</v>
      </c>
    </row>
    <row r="60" spans="1:5">
      <c r="A60" s="2">
        <v>45464</v>
      </c>
      <c r="B60">
        <v>19528.400390625</v>
      </c>
      <c r="C60">
        <v>1439.72766113281</v>
      </c>
      <c r="D60">
        <f t="shared" si="0"/>
        <v>-8.2633726432299601E-4</v>
      </c>
      <c r="E60">
        <f t="shared" si="1"/>
        <v>-2.5493906918172392E-3</v>
      </c>
    </row>
    <row r="61" spans="1:5">
      <c r="A61" s="2">
        <v>45467</v>
      </c>
      <c r="B61">
        <v>19521.150390625</v>
      </c>
      <c r="C61">
        <v>1466.46667480468</v>
      </c>
      <c r="D61">
        <f t="shared" si="0"/>
        <v>-3.7125416598281691E-4</v>
      </c>
      <c r="E61">
        <f t="shared" si="1"/>
        <v>1.8572271960678413E-2</v>
      </c>
    </row>
    <row r="62" spans="1:5">
      <c r="A62" s="2">
        <v>45468</v>
      </c>
      <c r="B62">
        <v>19532.30078125</v>
      </c>
      <c r="C62">
        <v>1476.9658203125</v>
      </c>
      <c r="D62">
        <f t="shared" si="0"/>
        <v>5.7119536512330522E-4</v>
      </c>
      <c r="E62">
        <f t="shared" si="1"/>
        <v>7.1594845544092527E-3</v>
      </c>
    </row>
    <row r="63" spans="1:5">
      <c r="A63" s="2">
        <v>45469</v>
      </c>
      <c r="B63">
        <v>19545.349609375</v>
      </c>
      <c r="C63">
        <v>1492.61669921875</v>
      </c>
      <c r="D63">
        <f t="shared" si="0"/>
        <v>6.6806405815367134E-4</v>
      </c>
      <c r="E63">
        <f t="shared" si="1"/>
        <v>1.0596642583738701E-2</v>
      </c>
    </row>
    <row r="64" spans="1:5">
      <c r="A64" s="2">
        <v>45470</v>
      </c>
      <c r="B64">
        <v>19514.80078125</v>
      </c>
      <c r="C64">
        <v>1487.80847167968</v>
      </c>
      <c r="D64">
        <f t="shared" si="0"/>
        <v>-1.5629716907364574E-3</v>
      </c>
      <c r="E64">
        <f t="shared" si="1"/>
        <v>-3.2213411129506163E-3</v>
      </c>
    </row>
    <row r="65" spans="1:5">
      <c r="A65" s="2">
        <v>45471</v>
      </c>
      <c r="B65">
        <v>19731.55078125</v>
      </c>
      <c r="C65">
        <v>1492.322265625</v>
      </c>
      <c r="D65">
        <f t="shared" si="0"/>
        <v>1.1106954276891998E-2</v>
      </c>
      <c r="E65">
        <f t="shared" si="1"/>
        <v>3.033854176286615E-3</v>
      </c>
    </row>
    <row r="66" spans="1:5">
      <c r="A66" s="2">
        <v>45474</v>
      </c>
      <c r="B66">
        <v>19758.25</v>
      </c>
      <c r="C66">
        <v>1491.58630371093</v>
      </c>
      <c r="D66">
        <f t="shared" si="0"/>
        <v>1.353123180534348E-3</v>
      </c>
      <c r="E66">
        <f t="shared" si="1"/>
        <v>-4.9316553871946341E-4</v>
      </c>
    </row>
    <row r="67" spans="1:5">
      <c r="A67" s="2">
        <v>45475</v>
      </c>
      <c r="B67">
        <v>19786.400390625</v>
      </c>
      <c r="C67">
        <v>1495.46228027343</v>
      </c>
      <c r="D67">
        <f t="shared" si="0"/>
        <v>1.4247410891652854E-3</v>
      </c>
      <c r="E67">
        <f t="shared" si="1"/>
        <v>2.5985600383007846E-3</v>
      </c>
    </row>
    <row r="68" spans="1:5">
      <c r="A68" s="2">
        <v>45476</v>
      </c>
      <c r="B68">
        <v>19915.30078125</v>
      </c>
      <c r="C68">
        <v>1505.17651367187</v>
      </c>
      <c r="D68">
        <f t="shared" si="0"/>
        <v>6.514595281619507E-3</v>
      </c>
      <c r="E68">
        <f t="shared" si="1"/>
        <v>6.4958063647475297E-3</v>
      </c>
    </row>
    <row r="69" spans="1:5">
      <c r="A69" s="2">
        <v>45477</v>
      </c>
      <c r="B69">
        <v>20192.599609375</v>
      </c>
      <c r="C69">
        <v>1528.67736816406</v>
      </c>
      <c r="D69">
        <f t="shared" si="0"/>
        <v>1.3923908615333255E-2</v>
      </c>
      <c r="E69">
        <f t="shared" si="1"/>
        <v>1.5613354499439932E-2</v>
      </c>
    </row>
    <row r="70" spans="1:5">
      <c r="A70" s="2">
        <v>45478</v>
      </c>
      <c r="B70">
        <v>20453.849609375</v>
      </c>
      <c r="C70">
        <v>1538.98046875</v>
      </c>
      <c r="D70">
        <f t="shared" si="0"/>
        <v>1.2937908196758732E-2</v>
      </c>
      <c r="E70">
        <f t="shared" si="1"/>
        <v>6.7398790618023044E-3</v>
      </c>
    </row>
    <row r="71" spans="1:5">
      <c r="A71" s="2">
        <v>45481</v>
      </c>
      <c r="B71">
        <v>20325.80078125</v>
      </c>
      <c r="C71">
        <v>1527.20544433593</v>
      </c>
      <c r="D71">
        <f t="shared" si="0"/>
        <v>-6.2603779029600844E-3</v>
      </c>
      <c r="E71">
        <f t="shared" si="1"/>
        <v>-7.6511850885502041E-3</v>
      </c>
    </row>
    <row r="72" spans="1:5">
      <c r="A72" s="2">
        <v>45482</v>
      </c>
      <c r="B72">
        <v>20645.80078125</v>
      </c>
      <c r="C72">
        <v>1555.66149902343</v>
      </c>
      <c r="D72">
        <f t="shared" ref="D72:D135" si="2">(B72-B71)/B71</f>
        <v>1.5743537164606636E-2</v>
      </c>
      <c r="E72">
        <f t="shared" ref="E72:E135" si="3">(C72-C71)/C71</f>
        <v>1.86327614225298E-2</v>
      </c>
    </row>
    <row r="73" spans="1:5">
      <c r="A73" s="2">
        <v>45483</v>
      </c>
      <c r="B73">
        <v>20725.94921875</v>
      </c>
      <c r="C73">
        <v>1568.56481933593</v>
      </c>
      <c r="D73">
        <f t="shared" si="2"/>
        <v>3.8820696929706311E-3</v>
      </c>
      <c r="E73">
        <f t="shared" si="3"/>
        <v>8.2944267249656107E-3</v>
      </c>
    </row>
    <row r="74" spans="1:5">
      <c r="A74" s="2">
        <v>45484</v>
      </c>
      <c r="B74">
        <v>20601.69921875</v>
      </c>
      <c r="C74">
        <v>1552.07995605468</v>
      </c>
      <c r="D74">
        <f t="shared" si="2"/>
        <v>-5.9949003391167061E-3</v>
      </c>
      <c r="E74">
        <f t="shared" si="3"/>
        <v>-1.0509519962476946E-2</v>
      </c>
    </row>
    <row r="75" spans="1:5">
      <c r="A75" s="2">
        <v>45485</v>
      </c>
      <c r="B75">
        <v>20612.650390625</v>
      </c>
      <c r="C75">
        <v>1552.62145996093</v>
      </c>
      <c r="D75">
        <f t="shared" si="2"/>
        <v>5.3156643822045171E-4</v>
      </c>
      <c r="E75">
        <f t="shared" si="3"/>
        <v>3.4888918198936055E-4</v>
      </c>
    </row>
    <row r="76" spans="1:5">
      <c r="A76" s="2">
        <v>45488</v>
      </c>
      <c r="B76">
        <v>20844.55078125</v>
      </c>
      <c r="C76">
        <v>1561.38195800781</v>
      </c>
      <c r="D76">
        <f t="shared" si="2"/>
        <v>1.125039168812917E-2</v>
      </c>
      <c r="E76">
        <f t="shared" si="3"/>
        <v>5.6423914474945172E-3</v>
      </c>
    </row>
    <row r="77" spans="1:5">
      <c r="A77" s="2">
        <v>45489</v>
      </c>
      <c r="B77">
        <v>20765.44921875</v>
      </c>
      <c r="C77">
        <v>1554.59020996093</v>
      </c>
      <c r="D77">
        <f t="shared" si="2"/>
        <v>-3.7948317202956034E-3</v>
      </c>
      <c r="E77">
        <f t="shared" si="3"/>
        <v>-4.3498312581667668E-3</v>
      </c>
    </row>
    <row r="78" spans="1:5">
      <c r="A78" s="2">
        <v>45491</v>
      </c>
      <c r="B78">
        <v>20768.349609375</v>
      </c>
      <c r="C78">
        <v>1569.30627441406</v>
      </c>
      <c r="D78">
        <f t="shared" si="2"/>
        <v>1.3967386857112221E-4</v>
      </c>
      <c r="E78">
        <f t="shared" si="3"/>
        <v>9.4662016773538332E-3</v>
      </c>
    </row>
    <row r="79" spans="1:5">
      <c r="A79" s="2">
        <v>45492</v>
      </c>
      <c r="B79">
        <v>20425.400390625</v>
      </c>
      <c r="C79">
        <v>1544.10668945312</v>
      </c>
      <c r="D79">
        <f t="shared" si="2"/>
        <v>-1.6513070378745453E-2</v>
      </c>
      <c r="E79">
        <f t="shared" si="3"/>
        <v>-1.6057786406511947E-2</v>
      </c>
    </row>
    <row r="80" spans="1:5">
      <c r="A80" s="2">
        <v>45495</v>
      </c>
      <c r="B80">
        <v>20641.55078125</v>
      </c>
      <c r="C80">
        <v>1562.51416015625</v>
      </c>
      <c r="D80">
        <f t="shared" si="2"/>
        <v>1.0582431016833838E-2</v>
      </c>
      <c r="E80">
        <f t="shared" si="3"/>
        <v>1.192111324227824E-2</v>
      </c>
    </row>
    <row r="81" spans="1:5">
      <c r="A81" s="2">
        <v>45496</v>
      </c>
      <c r="B81">
        <v>20755.349609375</v>
      </c>
      <c r="C81">
        <v>1576.54113769531</v>
      </c>
      <c r="D81">
        <f t="shared" si="2"/>
        <v>5.5130948895744077E-3</v>
      </c>
      <c r="E81">
        <f t="shared" si="3"/>
        <v>8.9771842692659594E-3</v>
      </c>
    </row>
    <row r="82" spans="1:5">
      <c r="A82" s="2">
        <v>45497</v>
      </c>
      <c r="B82">
        <v>20908.5</v>
      </c>
      <c r="C82">
        <v>1594.11181640625</v>
      </c>
      <c r="D82">
        <f t="shared" si="2"/>
        <v>7.3788393598450096E-3</v>
      </c>
      <c r="E82">
        <f t="shared" si="3"/>
        <v>1.11450810199764E-2</v>
      </c>
    </row>
    <row r="83" spans="1:5">
      <c r="A83" s="2">
        <v>45498</v>
      </c>
      <c r="B83">
        <v>21105.5</v>
      </c>
      <c r="C83">
        <v>1639.73669433593</v>
      </c>
      <c r="D83">
        <f t="shared" si="2"/>
        <v>9.4220054045005622E-3</v>
      </c>
      <c r="E83">
        <f t="shared" si="3"/>
        <v>2.8620876816869895E-2</v>
      </c>
    </row>
    <row r="84" spans="1:5">
      <c r="A84" s="2">
        <v>45499</v>
      </c>
      <c r="B84">
        <v>21603.099609375</v>
      </c>
      <c r="C84">
        <v>1687.42858886718</v>
      </c>
      <c r="D84">
        <f t="shared" si="2"/>
        <v>2.3576774270924642E-2</v>
      </c>
      <c r="E84">
        <f t="shared" si="3"/>
        <v>2.9085093171354891E-2</v>
      </c>
    </row>
    <row r="85" spans="1:5">
      <c r="A85" s="2">
        <v>45502</v>
      </c>
      <c r="B85">
        <v>21674.94921875</v>
      </c>
      <c r="C85">
        <v>1696.28784179687</v>
      </c>
      <c r="D85">
        <f t="shared" si="2"/>
        <v>3.3258935372320253E-3</v>
      </c>
      <c r="E85">
        <f t="shared" si="3"/>
        <v>5.2501498363480238E-3</v>
      </c>
    </row>
    <row r="86" spans="1:5">
      <c r="A86" s="2">
        <v>45503</v>
      </c>
      <c r="B86">
        <v>21540.80078125</v>
      </c>
      <c r="C86">
        <v>1674.97644042968</v>
      </c>
      <c r="D86">
        <f t="shared" si="2"/>
        <v>-6.1891004286162002E-3</v>
      </c>
      <c r="E86">
        <f t="shared" si="3"/>
        <v>-1.2563552506875797E-2</v>
      </c>
    </row>
    <row r="87" spans="1:5">
      <c r="A87" s="2">
        <v>45504</v>
      </c>
      <c r="B87">
        <v>21777.150390625</v>
      </c>
      <c r="C87">
        <v>1692.44885253906</v>
      </c>
      <c r="D87">
        <f t="shared" si="2"/>
        <v>1.0972183057406503E-2</v>
      </c>
      <c r="E87">
        <f t="shared" si="3"/>
        <v>1.0431437534069329E-2</v>
      </c>
    </row>
    <row r="88" spans="1:5">
      <c r="A88" s="2">
        <v>45505</v>
      </c>
      <c r="B88">
        <v>21790.349609375</v>
      </c>
      <c r="C88">
        <v>1688.36364746093</v>
      </c>
      <c r="D88">
        <f t="shared" si="2"/>
        <v>6.061040362600529E-4</v>
      </c>
      <c r="E88">
        <f t="shared" si="3"/>
        <v>-2.4137834783020244E-3</v>
      </c>
    </row>
    <row r="89" spans="1:5">
      <c r="A89" s="2">
        <v>45506</v>
      </c>
      <c r="B89">
        <v>21902.849609375</v>
      </c>
      <c r="C89">
        <v>1704.55627441406</v>
      </c>
      <c r="D89">
        <f t="shared" si="2"/>
        <v>5.1628359350231997E-3</v>
      </c>
      <c r="E89">
        <f t="shared" si="3"/>
        <v>9.5907223408188847E-3</v>
      </c>
    </row>
    <row r="90" spans="1:5">
      <c r="A90" s="2">
        <v>45509</v>
      </c>
      <c r="B90">
        <v>21583.05078125</v>
      </c>
      <c r="C90">
        <v>1693.43310546875</v>
      </c>
      <c r="D90">
        <f t="shared" si="2"/>
        <v>-1.4600786373847796E-2</v>
      </c>
      <c r="E90">
        <f t="shared" si="3"/>
        <v>-6.5255510259604544E-3</v>
      </c>
    </row>
    <row r="91" spans="1:5">
      <c r="A91" s="2">
        <v>45510</v>
      </c>
      <c r="B91">
        <v>21562.55078125</v>
      </c>
      <c r="C91">
        <v>1680.83349609375</v>
      </c>
      <c r="D91">
        <f t="shared" si="2"/>
        <v>-9.4981938409787337E-4</v>
      </c>
      <c r="E91">
        <f t="shared" si="3"/>
        <v>-7.4402758126736693E-3</v>
      </c>
    </row>
    <row r="92" spans="1:5">
      <c r="A92" s="2">
        <v>45511</v>
      </c>
      <c r="B92">
        <v>22036.94921875</v>
      </c>
      <c r="C92">
        <v>1707.3125</v>
      </c>
      <c r="D92">
        <f t="shared" si="2"/>
        <v>2.2001035142489699E-2</v>
      </c>
      <c r="E92">
        <f t="shared" si="3"/>
        <v>1.5753496088569803E-2</v>
      </c>
    </row>
    <row r="93" spans="1:5">
      <c r="A93" s="2">
        <v>45512</v>
      </c>
      <c r="B93">
        <v>22114.25</v>
      </c>
      <c r="C93">
        <v>1709.87194824218</v>
      </c>
      <c r="D93">
        <f t="shared" si="2"/>
        <v>3.5077805227335694E-3</v>
      </c>
      <c r="E93">
        <f t="shared" si="3"/>
        <v>1.4991094144627868E-3</v>
      </c>
    </row>
    <row r="94" spans="1:5">
      <c r="A94" s="2">
        <v>45513</v>
      </c>
      <c r="B94">
        <v>22209.55078125</v>
      </c>
      <c r="C94">
        <v>1708.14929199218</v>
      </c>
      <c r="D94">
        <f t="shared" si="2"/>
        <v>4.3094738121347096E-3</v>
      </c>
      <c r="E94">
        <f t="shared" si="3"/>
        <v>-1.0074767597485663E-3</v>
      </c>
    </row>
    <row r="95" spans="1:5">
      <c r="A95" s="2">
        <v>45516</v>
      </c>
      <c r="B95">
        <v>22205.599609375</v>
      </c>
      <c r="C95">
        <v>1706.72192382812</v>
      </c>
      <c r="D95">
        <f t="shared" si="2"/>
        <v>-1.7790417797804823E-4</v>
      </c>
      <c r="E95">
        <f t="shared" si="3"/>
        <v>-8.3562260673087198E-4</v>
      </c>
    </row>
    <row r="96" spans="1:5">
      <c r="A96" s="2">
        <v>45517</v>
      </c>
      <c r="B96">
        <v>22191.599609375</v>
      </c>
      <c r="C96">
        <v>1712.87414550781</v>
      </c>
      <c r="D96">
        <f t="shared" si="2"/>
        <v>-6.304716038421826E-4</v>
      </c>
      <c r="E96">
        <f t="shared" si="3"/>
        <v>3.6047006801733549E-3</v>
      </c>
    </row>
    <row r="97" spans="1:5">
      <c r="A97" s="2">
        <v>45518</v>
      </c>
      <c r="B97">
        <v>22012.69921875</v>
      </c>
      <c r="C97">
        <v>1714.40002441406</v>
      </c>
      <c r="D97">
        <f t="shared" si="2"/>
        <v>-8.061626641345054E-3</v>
      </c>
      <c r="E97">
        <f t="shared" si="3"/>
        <v>8.9082955116800359E-4</v>
      </c>
    </row>
    <row r="98" spans="1:5">
      <c r="A98" s="2">
        <v>45520</v>
      </c>
      <c r="B98">
        <v>22106.5</v>
      </c>
      <c r="C98">
        <v>1715.48278808593</v>
      </c>
      <c r="D98">
        <f t="shared" si="2"/>
        <v>4.2612121447651577E-3</v>
      </c>
      <c r="E98">
        <f t="shared" si="3"/>
        <v>6.3157002826108794E-4</v>
      </c>
    </row>
    <row r="99" spans="1:5">
      <c r="A99" s="2">
        <v>45523</v>
      </c>
      <c r="B99">
        <v>22237.849609375</v>
      </c>
      <c r="C99">
        <v>1720.45385742187</v>
      </c>
      <c r="D99">
        <f t="shared" si="2"/>
        <v>5.9416736876031937E-3</v>
      </c>
      <c r="E99">
        <f t="shared" si="3"/>
        <v>2.8977669554391332E-3</v>
      </c>
    </row>
    <row r="100" spans="1:5">
      <c r="A100" s="2">
        <v>45524</v>
      </c>
      <c r="B100">
        <v>22374.25</v>
      </c>
      <c r="C100">
        <v>1738.71337890625</v>
      </c>
      <c r="D100">
        <f t="shared" si="2"/>
        <v>6.1337041584945571E-3</v>
      </c>
      <c r="E100">
        <f t="shared" si="3"/>
        <v>1.0613200351529458E-2</v>
      </c>
    </row>
    <row r="101" spans="1:5">
      <c r="A101" s="2">
        <v>45525</v>
      </c>
      <c r="B101">
        <v>22577.900390625</v>
      </c>
      <c r="C101">
        <v>1737.0400390625</v>
      </c>
      <c r="D101">
        <f t="shared" si="2"/>
        <v>9.1019985306770058E-3</v>
      </c>
      <c r="E101">
        <f t="shared" si="3"/>
        <v>-9.6240120082507574E-4</v>
      </c>
    </row>
    <row r="102" spans="1:5">
      <c r="A102" s="2">
        <v>45526</v>
      </c>
      <c r="B102">
        <v>22546.099609375</v>
      </c>
      <c r="C102">
        <v>1723.25915527343</v>
      </c>
      <c r="D102">
        <f t="shared" si="2"/>
        <v>-1.4084915204606275E-3</v>
      </c>
      <c r="E102">
        <f t="shared" si="3"/>
        <v>-7.933544120553318E-3</v>
      </c>
    </row>
    <row r="103" spans="1:5">
      <c r="A103" s="2">
        <v>45527</v>
      </c>
      <c r="B103">
        <v>22527.849609375</v>
      </c>
      <c r="C103">
        <v>1747.96643066406</v>
      </c>
      <c r="D103">
        <f t="shared" si="2"/>
        <v>-8.0945264663034584E-4</v>
      </c>
      <c r="E103">
        <f t="shared" si="3"/>
        <v>1.4337527420076112E-2</v>
      </c>
    </row>
    <row r="104" spans="1:5">
      <c r="A104" s="2">
        <v>45530</v>
      </c>
      <c r="B104">
        <v>22554.94921875</v>
      </c>
      <c r="C104">
        <v>1744.71789550781</v>
      </c>
      <c r="D104">
        <f t="shared" si="2"/>
        <v>1.2029381341272119E-3</v>
      </c>
      <c r="E104">
        <f t="shared" si="3"/>
        <v>-1.858465414015913E-3</v>
      </c>
    </row>
    <row r="105" spans="1:5">
      <c r="A105" s="2">
        <v>45531</v>
      </c>
      <c r="B105">
        <v>22729</v>
      </c>
      <c r="C105">
        <v>1761.40270996093</v>
      </c>
      <c r="D105">
        <f t="shared" si="2"/>
        <v>7.7167445407197392E-3</v>
      </c>
      <c r="E105">
        <f t="shared" si="3"/>
        <v>9.5630442583749548E-3</v>
      </c>
    </row>
    <row r="106" spans="1:5">
      <c r="A106" s="2">
        <v>45532</v>
      </c>
      <c r="B106">
        <v>22989.099609375</v>
      </c>
      <c r="C106">
        <v>1783.50146484375</v>
      </c>
      <c r="D106">
        <f t="shared" si="2"/>
        <v>1.1443513105503981E-2</v>
      </c>
      <c r="E106">
        <f t="shared" si="3"/>
        <v>1.2546111549533258E-2</v>
      </c>
    </row>
    <row r="107" spans="1:5">
      <c r="A107" s="2">
        <v>45533</v>
      </c>
      <c r="B107">
        <v>22878.05078125</v>
      </c>
      <c r="C107">
        <v>1771.04943847656</v>
      </c>
      <c r="D107">
        <f t="shared" si="2"/>
        <v>-4.8304992371129693E-3</v>
      </c>
      <c r="E107">
        <f t="shared" si="3"/>
        <v>-6.9817864535821426E-3</v>
      </c>
    </row>
    <row r="108" spans="1:5">
      <c r="A108" s="2">
        <v>45534</v>
      </c>
      <c r="B108">
        <v>23217.599609375</v>
      </c>
      <c r="C108">
        <v>1793.14819335937</v>
      </c>
      <c r="D108">
        <f t="shared" si="2"/>
        <v>1.4841685219235618E-2</v>
      </c>
      <c r="E108">
        <f t="shared" si="3"/>
        <v>1.2477774139280459E-2</v>
      </c>
    </row>
    <row r="109" spans="1:5">
      <c r="A109" s="2">
        <v>45537</v>
      </c>
      <c r="B109">
        <v>22987.44921875</v>
      </c>
      <c r="C109">
        <v>1787.53747558593</v>
      </c>
      <c r="D109">
        <f t="shared" si="2"/>
        <v>-9.9127556033858002E-3</v>
      </c>
      <c r="E109">
        <f t="shared" si="3"/>
        <v>-3.1289760624461345E-3</v>
      </c>
    </row>
    <row r="110" spans="1:5">
      <c r="A110" s="2">
        <v>45538</v>
      </c>
      <c r="B110">
        <v>23014.30078125</v>
      </c>
      <c r="C110">
        <v>1783.15710449218</v>
      </c>
      <c r="D110">
        <f t="shared" si="2"/>
        <v>1.1680966532858369E-3</v>
      </c>
      <c r="E110">
        <f t="shared" si="3"/>
        <v>-2.4505058795000509E-3</v>
      </c>
    </row>
    <row r="111" spans="1:5">
      <c r="A111" s="2">
        <v>45539</v>
      </c>
      <c r="B111">
        <v>23184.400390625</v>
      </c>
      <c r="C111">
        <v>1804.17297363281</v>
      </c>
      <c r="D111">
        <f t="shared" si="2"/>
        <v>7.3910396406038975E-3</v>
      </c>
      <c r="E111">
        <f t="shared" si="3"/>
        <v>1.1785764186277378E-2</v>
      </c>
    </row>
    <row r="112" spans="1:5">
      <c r="A112" s="2">
        <v>45540</v>
      </c>
      <c r="B112">
        <v>23156.69921875</v>
      </c>
      <c r="C112">
        <v>1797.92248535156</v>
      </c>
      <c r="D112">
        <f t="shared" si="2"/>
        <v>-1.1948194220369585E-3</v>
      </c>
      <c r="E112">
        <f t="shared" si="3"/>
        <v>-3.4644617631447326E-3</v>
      </c>
    </row>
    <row r="113" spans="1:5">
      <c r="A113" s="2">
        <v>45541</v>
      </c>
      <c r="B113">
        <v>23043.400390625</v>
      </c>
      <c r="C113">
        <v>1796.0029296875</v>
      </c>
      <c r="D113">
        <f t="shared" si="2"/>
        <v>-4.8927019803090867E-3</v>
      </c>
      <c r="E113">
        <f t="shared" si="3"/>
        <v>-1.0676520704865956E-3</v>
      </c>
    </row>
    <row r="114" spans="1:5">
      <c r="A114" s="2">
        <v>45544</v>
      </c>
      <c r="B114">
        <v>23009.400390625</v>
      </c>
      <c r="C114">
        <v>1793.34509277343</v>
      </c>
      <c r="D114">
        <f t="shared" si="2"/>
        <v>-1.4754766841543314E-3</v>
      </c>
      <c r="E114">
        <f t="shared" si="3"/>
        <v>-1.479862237492263E-3</v>
      </c>
    </row>
    <row r="115" spans="1:5">
      <c r="A115" s="2">
        <v>45545</v>
      </c>
      <c r="B115">
        <v>23256.849609375</v>
      </c>
      <c r="C115">
        <v>1807.6181640625</v>
      </c>
      <c r="D115">
        <f t="shared" si="2"/>
        <v>1.0754266280264359E-2</v>
      </c>
      <c r="E115">
        <f t="shared" si="3"/>
        <v>7.9589094963293007E-3</v>
      </c>
    </row>
    <row r="116" spans="1:5">
      <c r="A116" s="2">
        <v>45546</v>
      </c>
      <c r="B116">
        <v>23220.400390625</v>
      </c>
      <c r="C116">
        <v>1816.82189941406</v>
      </c>
      <c r="D116">
        <f t="shared" si="2"/>
        <v>-1.5672466117382924E-3</v>
      </c>
      <c r="E116">
        <f t="shared" si="3"/>
        <v>5.0916369034902948E-3</v>
      </c>
    </row>
    <row r="117" spans="1:5">
      <c r="A117" s="2">
        <v>45547</v>
      </c>
      <c r="B117">
        <v>23429.599609375</v>
      </c>
      <c r="C117">
        <v>1836.21374511718</v>
      </c>
      <c r="D117">
        <f t="shared" si="2"/>
        <v>9.0092855950262615E-3</v>
      </c>
      <c r="E117">
        <f t="shared" si="3"/>
        <v>1.067349843667892E-2</v>
      </c>
    </row>
    <row r="118" spans="1:5">
      <c r="A118" s="2">
        <v>45548</v>
      </c>
      <c r="B118">
        <v>23457.650390625</v>
      </c>
      <c r="C118">
        <v>1824.74597167968</v>
      </c>
      <c r="D118">
        <f t="shared" si="2"/>
        <v>1.1972369019390286E-3</v>
      </c>
      <c r="E118">
        <f t="shared" si="3"/>
        <v>-6.2453368884721923E-3</v>
      </c>
    </row>
    <row r="119" spans="1:5">
      <c r="A119" s="2">
        <v>45551</v>
      </c>
      <c r="B119">
        <v>23448.75</v>
      </c>
      <c r="C119">
        <v>1833.80200195312</v>
      </c>
      <c r="D119">
        <f t="shared" si="2"/>
        <v>-3.7942379039620686E-4</v>
      </c>
      <c r="E119">
        <f t="shared" si="3"/>
        <v>4.9628991728113908E-3</v>
      </c>
    </row>
    <row r="120" spans="1:5">
      <c r="A120" s="2">
        <v>45552</v>
      </c>
      <c r="B120">
        <v>23383.650390625</v>
      </c>
      <c r="C120">
        <v>1836.90270996093</v>
      </c>
      <c r="D120">
        <f t="shared" si="2"/>
        <v>-2.7762507329815024E-3</v>
      </c>
      <c r="E120">
        <f t="shared" si="3"/>
        <v>1.6908630291097625E-3</v>
      </c>
    </row>
    <row r="121" spans="1:5">
      <c r="A121" s="2">
        <v>45553</v>
      </c>
      <c r="B121">
        <v>23025.19921875</v>
      </c>
      <c r="C121">
        <v>1807.27355957031</v>
      </c>
      <c r="D121">
        <f t="shared" si="2"/>
        <v>-1.5329136635514815E-2</v>
      </c>
      <c r="E121">
        <f t="shared" si="3"/>
        <v>-1.6129950829704091E-2</v>
      </c>
    </row>
    <row r="122" spans="1:5">
      <c r="A122" s="2">
        <v>45554</v>
      </c>
      <c r="B122">
        <v>22930.150390625</v>
      </c>
      <c r="C122">
        <v>1817.16650390625</v>
      </c>
      <c r="D122">
        <f t="shared" si="2"/>
        <v>-4.1280349942683378E-3</v>
      </c>
      <c r="E122">
        <f t="shared" si="3"/>
        <v>5.4739606428437469E-3</v>
      </c>
    </row>
    <row r="123" spans="1:5">
      <c r="A123" s="2">
        <v>45555</v>
      </c>
      <c r="B123">
        <v>23005.25</v>
      </c>
      <c r="C123">
        <v>1836.55834960937</v>
      </c>
      <c r="D123">
        <f t="shared" si="2"/>
        <v>3.2751468305111729E-3</v>
      </c>
      <c r="E123">
        <f t="shared" si="3"/>
        <v>1.0671474331842762E-2</v>
      </c>
    </row>
    <row r="124" spans="1:5">
      <c r="A124" s="2">
        <v>45558</v>
      </c>
      <c r="B124">
        <v>23134.25</v>
      </c>
      <c r="C124">
        <v>1833.55603027343</v>
      </c>
      <c r="D124">
        <f t="shared" si="2"/>
        <v>5.6074156985905389E-3</v>
      </c>
      <c r="E124">
        <f t="shared" si="3"/>
        <v>-1.6347530349790328E-3</v>
      </c>
    </row>
    <row r="125" spans="1:5">
      <c r="A125" s="2">
        <v>45559</v>
      </c>
      <c r="B125">
        <v>23188.400390625</v>
      </c>
      <c r="C125">
        <v>1838.87133789062</v>
      </c>
      <c r="D125">
        <f t="shared" si="2"/>
        <v>2.3407022326204655E-3</v>
      </c>
      <c r="E125">
        <f t="shared" si="3"/>
        <v>2.8989065670370342E-3</v>
      </c>
    </row>
    <row r="126" spans="1:5">
      <c r="A126" s="2">
        <v>45560</v>
      </c>
      <c r="B126">
        <v>23249</v>
      </c>
      <c r="C126">
        <v>1841.283203125</v>
      </c>
      <c r="D126">
        <f t="shared" si="2"/>
        <v>2.6133587636127001E-3</v>
      </c>
      <c r="E126">
        <f t="shared" si="3"/>
        <v>1.3116008633571215E-3</v>
      </c>
    </row>
    <row r="127" spans="1:5">
      <c r="A127" s="2">
        <v>45561</v>
      </c>
      <c r="B127">
        <v>23250.900390625</v>
      </c>
      <c r="C127">
        <v>1868.69738769531</v>
      </c>
      <c r="D127">
        <f t="shared" si="2"/>
        <v>8.1740746913845755E-5</v>
      </c>
      <c r="E127">
        <f t="shared" si="3"/>
        <v>1.4888630126958759E-2</v>
      </c>
    </row>
    <row r="128" spans="1:5">
      <c r="A128" s="2">
        <v>45562</v>
      </c>
      <c r="B128">
        <v>23519.099609375</v>
      </c>
      <c r="C128">
        <v>1918.21032714843</v>
      </c>
      <c r="D128">
        <f t="shared" si="2"/>
        <v>1.1535003558749951E-2</v>
      </c>
      <c r="E128">
        <f t="shared" si="3"/>
        <v>2.6495964396988311E-2</v>
      </c>
    </row>
    <row r="129" spans="1:5">
      <c r="A129" s="2">
        <v>45565</v>
      </c>
      <c r="B129">
        <v>23281.19921875</v>
      </c>
      <c r="C129">
        <v>1896.55456542968</v>
      </c>
      <c r="D129">
        <f t="shared" si="2"/>
        <v>-1.0115199755783594E-2</v>
      </c>
      <c r="E129">
        <f t="shared" si="3"/>
        <v>-1.1289565806343556E-2</v>
      </c>
    </row>
    <row r="130" spans="1:5">
      <c r="A130" s="2">
        <v>45566</v>
      </c>
      <c r="B130">
        <v>23296.55078125</v>
      </c>
      <c r="C130">
        <v>1889.91015625</v>
      </c>
      <c r="D130">
        <f t="shared" si="2"/>
        <v>6.5939741143730679E-4</v>
      </c>
      <c r="E130">
        <f t="shared" si="3"/>
        <v>-3.5034105007016505E-3</v>
      </c>
    </row>
    <row r="131" spans="1:5">
      <c r="A131" s="2">
        <v>45568</v>
      </c>
      <c r="B131">
        <v>23178.75</v>
      </c>
      <c r="C131">
        <v>1880.95263671875</v>
      </c>
      <c r="D131">
        <f t="shared" si="2"/>
        <v>-5.0565760724034219E-3</v>
      </c>
      <c r="E131">
        <f t="shared" si="3"/>
        <v>-4.7396536293681287E-3</v>
      </c>
    </row>
    <row r="132" spans="1:5">
      <c r="A132" s="2">
        <v>45569</v>
      </c>
      <c r="B132">
        <v>23094.69921875</v>
      </c>
      <c r="C132">
        <v>1880.16516113281</v>
      </c>
      <c r="D132">
        <f t="shared" si="2"/>
        <v>-3.6261999137140702E-3</v>
      </c>
      <c r="E132">
        <f t="shared" si="3"/>
        <v>-4.1865784952125224E-4</v>
      </c>
    </row>
    <row r="133" spans="1:5">
      <c r="A133" s="2">
        <v>45572</v>
      </c>
      <c r="B133">
        <v>22977.80078125</v>
      </c>
      <c r="C133">
        <v>1875.44018554687</v>
      </c>
      <c r="D133">
        <f t="shared" si="2"/>
        <v>-5.0616999335108522E-3</v>
      </c>
      <c r="E133">
        <f t="shared" si="3"/>
        <v>-2.5130641092685588E-3</v>
      </c>
    </row>
    <row r="134" spans="1:5">
      <c r="A134" s="2">
        <v>45573</v>
      </c>
      <c r="B134">
        <v>23307.94921875</v>
      </c>
      <c r="C134">
        <v>1887.15405273437</v>
      </c>
      <c r="D134">
        <f t="shared" si="2"/>
        <v>1.4368147789382993E-2</v>
      </c>
      <c r="E134">
        <f t="shared" si="3"/>
        <v>6.2459295037896869E-3</v>
      </c>
    </row>
    <row r="135" spans="1:5">
      <c r="A135" s="2">
        <v>45574</v>
      </c>
      <c r="B135">
        <v>23783.80078125</v>
      </c>
      <c r="C135">
        <v>1900.63977050781</v>
      </c>
      <c r="D135">
        <f t="shared" si="2"/>
        <v>2.0415848603153933E-2</v>
      </c>
      <c r="E135">
        <f t="shared" si="3"/>
        <v>7.1460608920082738E-3</v>
      </c>
    </row>
    <row r="136" spans="1:5">
      <c r="A136" s="2">
        <v>45575</v>
      </c>
      <c r="B136">
        <v>23305.150390625</v>
      </c>
      <c r="C136">
        <v>1858.21398925781</v>
      </c>
      <c r="D136">
        <f t="shared" ref="D136:D199" si="4">(B136-B135)/B135</f>
        <v>-2.0125058859488298E-2</v>
      </c>
      <c r="E136">
        <f t="shared" ref="E136:E199" si="5">(C136-C135)/C135</f>
        <v>-2.2321842312425538E-2</v>
      </c>
    </row>
    <row r="137" spans="1:5">
      <c r="A137" s="2">
        <v>45576</v>
      </c>
      <c r="B137">
        <v>23582.25</v>
      </c>
      <c r="C137">
        <v>1872.19189453125</v>
      </c>
      <c r="D137">
        <f t="shared" si="4"/>
        <v>1.1890058838087109E-2</v>
      </c>
      <c r="E137">
        <f t="shared" si="5"/>
        <v>7.522225833109201E-3</v>
      </c>
    </row>
    <row r="138" spans="1:5">
      <c r="A138" s="2">
        <v>45579</v>
      </c>
      <c r="B138">
        <v>23680</v>
      </c>
      <c r="C138">
        <v>1879.86975097656</v>
      </c>
      <c r="D138">
        <f t="shared" si="4"/>
        <v>4.1450667345143064E-3</v>
      </c>
      <c r="E138">
        <f t="shared" si="5"/>
        <v>4.1009986571020497E-3</v>
      </c>
    </row>
    <row r="139" spans="1:5">
      <c r="A139" s="2">
        <v>45580</v>
      </c>
      <c r="B139">
        <v>23555.69921875</v>
      </c>
      <c r="C139">
        <v>1868.74658203125</v>
      </c>
      <c r="D139">
        <f t="shared" si="4"/>
        <v>-5.249188397381757E-3</v>
      </c>
      <c r="E139">
        <f t="shared" si="5"/>
        <v>-5.9169891634948133E-3</v>
      </c>
    </row>
    <row r="140" spans="1:5">
      <c r="A140" s="2">
        <v>45581</v>
      </c>
      <c r="B140">
        <v>23467.349609375</v>
      </c>
      <c r="C140">
        <v>1868.79577636718</v>
      </c>
      <c r="D140">
        <f t="shared" si="4"/>
        <v>-3.7506680890489114E-3</v>
      </c>
      <c r="E140">
        <f t="shared" si="5"/>
        <v>2.6324776405222622E-5</v>
      </c>
    </row>
    <row r="141" spans="1:5">
      <c r="A141" s="2">
        <v>45582</v>
      </c>
      <c r="B141">
        <v>23254</v>
      </c>
      <c r="C141">
        <v>1859.98583984375</v>
      </c>
      <c r="D141">
        <f t="shared" si="4"/>
        <v>-9.0913380899975468E-3</v>
      </c>
      <c r="E141">
        <f t="shared" si="5"/>
        <v>-4.7142318250290314E-3</v>
      </c>
    </row>
    <row r="142" spans="1:5">
      <c r="A142" s="2">
        <v>45583</v>
      </c>
      <c r="B142">
        <v>23356.19921875</v>
      </c>
      <c r="C142">
        <v>1880.46044921875</v>
      </c>
      <c r="D142">
        <f t="shared" si="4"/>
        <v>4.3949092091683153E-3</v>
      </c>
      <c r="E142">
        <f t="shared" si="5"/>
        <v>1.1007938305981938E-2</v>
      </c>
    </row>
    <row r="143" spans="1:5">
      <c r="A143" s="2">
        <v>45586</v>
      </c>
      <c r="B143">
        <v>23122.69921875</v>
      </c>
      <c r="C143">
        <v>1867.31921386718</v>
      </c>
      <c r="D143">
        <f t="shared" si="4"/>
        <v>-9.9973457929982794E-3</v>
      </c>
      <c r="E143">
        <f t="shared" si="5"/>
        <v>-6.9883072292371892E-3</v>
      </c>
    </row>
    <row r="144" spans="1:5">
      <c r="A144" s="2">
        <v>45587</v>
      </c>
      <c r="B144">
        <v>22828.19921875</v>
      </c>
      <c r="C144">
        <v>1858.01721191406</v>
      </c>
      <c r="D144">
        <f t="shared" si="4"/>
        <v>-1.2736402321109314E-2</v>
      </c>
      <c r="E144">
        <f t="shared" si="5"/>
        <v>-4.9814739140694331E-3</v>
      </c>
    </row>
    <row r="145" spans="1:5">
      <c r="A145" s="2">
        <v>45588</v>
      </c>
      <c r="B145">
        <v>22471.599609375</v>
      </c>
      <c r="C145">
        <v>1810.5712890625</v>
      </c>
      <c r="D145">
        <f t="shared" si="4"/>
        <v>-1.562101355248845E-2</v>
      </c>
      <c r="E145">
        <f t="shared" si="5"/>
        <v>-2.5535782202298858E-2</v>
      </c>
    </row>
    <row r="146" spans="1:5">
      <c r="A146" s="2">
        <v>45589</v>
      </c>
      <c r="B146">
        <v>22570.80078125</v>
      </c>
      <c r="C146">
        <v>1819.97180175781</v>
      </c>
      <c r="D146">
        <f t="shared" si="4"/>
        <v>4.4145131454555618E-3</v>
      </c>
      <c r="E146">
        <f t="shared" si="5"/>
        <v>5.1920146707824539E-3</v>
      </c>
    </row>
    <row r="147" spans="1:5">
      <c r="A147" s="2">
        <v>45590</v>
      </c>
      <c r="B147">
        <v>22574.55078125</v>
      </c>
      <c r="C147">
        <v>1831.2919921875</v>
      </c>
      <c r="D147">
        <f t="shared" si="4"/>
        <v>1.6614386154678205E-4</v>
      </c>
      <c r="E147">
        <f t="shared" si="5"/>
        <v>6.219981221003785E-3</v>
      </c>
    </row>
    <row r="148" spans="1:5">
      <c r="A148" s="2">
        <v>45593</v>
      </c>
      <c r="B148">
        <v>22857.25</v>
      </c>
      <c r="C148">
        <v>1873.126953125</v>
      </c>
      <c r="D148">
        <f t="shared" si="4"/>
        <v>1.2522916690098865E-2</v>
      </c>
      <c r="E148">
        <f t="shared" si="5"/>
        <v>2.2844506018686647E-2</v>
      </c>
    </row>
    <row r="149" spans="1:5">
      <c r="A149" s="2">
        <v>45594</v>
      </c>
      <c r="B149">
        <v>22601.400390625</v>
      </c>
      <c r="C149">
        <v>1842.31665039062</v>
      </c>
      <c r="D149">
        <f t="shared" si="4"/>
        <v>-1.1193367941244025E-2</v>
      </c>
      <c r="E149">
        <f t="shared" si="5"/>
        <v>-1.6448592917302347E-2</v>
      </c>
    </row>
    <row r="150" spans="1:5">
      <c r="A150" s="2">
        <v>45595</v>
      </c>
      <c r="B150">
        <v>22374.94921875</v>
      </c>
      <c r="C150">
        <v>1823.12170410156</v>
      </c>
      <c r="D150">
        <f t="shared" si="4"/>
        <v>-1.0019342516888083E-2</v>
      </c>
      <c r="E150">
        <f t="shared" si="5"/>
        <v>-1.0418918096946126E-2</v>
      </c>
    </row>
    <row r="151" spans="1:5">
      <c r="A151" s="2">
        <v>45596</v>
      </c>
      <c r="B151">
        <v>22735.55078125</v>
      </c>
      <c r="C151">
        <v>1819.97180175781</v>
      </c>
      <c r="D151">
        <f t="shared" si="4"/>
        <v>1.6116307526535936E-2</v>
      </c>
      <c r="E151">
        <f t="shared" si="5"/>
        <v>-1.7277520950266354E-3</v>
      </c>
    </row>
    <row r="152" spans="1:5">
      <c r="A152" s="2">
        <v>45597</v>
      </c>
      <c r="B152">
        <v>22807.150390625</v>
      </c>
      <c r="C152">
        <v>1829.3232421875</v>
      </c>
      <c r="D152">
        <f t="shared" si="4"/>
        <v>3.1492357525839299E-3</v>
      </c>
      <c r="E152">
        <f t="shared" si="5"/>
        <v>5.1382336916747625E-3</v>
      </c>
    </row>
    <row r="153" spans="1:5">
      <c r="A153" s="2">
        <v>45600</v>
      </c>
      <c r="B153">
        <v>22638.30078125</v>
      </c>
      <c r="C153">
        <v>1780.59777832031</v>
      </c>
      <c r="D153">
        <f t="shared" si="4"/>
        <v>-7.4033628262655084E-3</v>
      </c>
      <c r="E153">
        <f t="shared" si="5"/>
        <v>-2.6635786799999447E-2</v>
      </c>
    </row>
    <row r="154" spans="1:5">
      <c r="A154" s="2">
        <v>45601</v>
      </c>
      <c r="B154">
        <v>22661.25</v>
      </c>
      <c r="C154">
        <v>1775.38049316406</v>
      </c>
      <c r="D154">
        <f t="shared" si="4"/>
        <v>1.0137341566292606E-3</v>
      </c>
      <c r="E154">
        <f t="shared" si="5"/>
        <v>-2.9300750679199529E-3</v>
      </c>
    </row>
    <row r="155" spans="1:5">
      <c r="A155" s="2">
        <v>45602</v>
      </c>
      <c r="B155">
        <v>22920.349609375</v>
      </c>
      <c r="C155">
        <v>1798.857421875</v>
      </c>
      <c r="D155">
        <f t="shared" si="4"/>
        <v>1.1433597412984721E-2</v>
      </c>
      <c r="E155">
        <f t="shared" si="5"/>
        <v>1.3223604067598899E-2</v>
      </c>
    </row>
    <row r="156" spans="1:5">
      <c r="A156" s="2">
        <v>45603</v>
      </c>
      <c r="B156">
        <v>22526.94921875</v>
      </c>
      <c r="C156">
        <v>1762.92846679687</v>
      </c>
      <c r="D156">
        <f t="shared" si="4"/>
        <v>-1.716380410114204E-2</v>
      </c>
      <c r="E156">
        <f t="shared" si="5"/>
        <v>-1.9973208905395202E-2</v>
      </c>
    </row>
    <row r="157" spans="1:5">
      <c r="A157" s="2">
        <v>45604</v>
      </c>
      <c r="B157">
        <v>22542.25</v>
      </c>
      <c r="C157">
        <v>1781.28674316406</v>
      </c>
      <c r="D157">
        <f t="shared" si="4"/>
        <v>6.7922118975900217E-4</v>
      </c>
      <c r="E157">
        <f t="shared" si="5"/>
        <v>1.0413511786184855E-2</v>
      </c>
    </row>
    <row r="158" spans="1:5">
      <c r="A158" s="2">
        <v>45607</v>
      </c>
      <c r="B158">
        <v>22344.25</v>
      </c>
      <c r="C158">
        <v>1766.52136230468</v>
      </c>
      <c r="D158">
        <f t="shared" si="4"/>
        <v>-8.783506526633322E-3</v>
      </c>
      <c r="E158">
        <f t="shared" si="5"/>
        <v>-8.2891656360461006E-3</v>
      </c>
    </row>
    <row r="159" spans="1:5">
      <c r="A159" s="2">
        <v>45608</v>
      </c>
      <c r="B159">
        <v>22151.599609375</v>
      </c>
      <c r="C159">
        <v>1772.67358398437</v>
      </c>
      <c r="D159">
        <f t="shared" si="4"/>
        <v>-8.6219224464907079E-3</v>
      </c>
      <c r="E159">
        <f t="shared" si="5"/>
        <v>3.4826760722913349E-3</v>
      </c>
    </row>
    <row r="160" spans="1:5">
      <c r="A160" s="2">
        <v>45609</v>
      </c>
      <c r="B160">
        <v>21809.30078125</v>
      </c>
      <c r="C160">
        <v>1751.16552734375</v>
      </c>
      <c r="D160">
        <f t="shared" si="4"/>
        <v>-1.5452555759455507E-2</v>
      </c>
      <c r="E160">
        <f t="shared" si="5"/>
        <v>-1.213311736291414E-2</v>
      </c>
    </row>
    <row r="161" spans="1:5">
      <c r="A161" s="2">
        <v>45610</v>
      </c>
      <c r="B161">
        <v>21752</v>
      </c>
      <c r="C161">
        <v>1740.53442382812</v>
      </c>
      <c r="D161">
        <f t="shared" si="4"/>
        <v>-2.627355265752624E-3</v>
      </c>
      <c r="E161">
        <f t="shared" si="5"/>
        <v>-6.0708729983714096E-3</v>
      </c>
    </row>
    <row r="162" spans="1:5">
      <c r="A162" s="2">
        <v>45614</v>
      </c>
      <c r="B162">
        <v>21544.150390625</v>
      </c>
      <c r="C162">
        <v>1720.40441894531</v>
      </c>
      <c r="D162">
        <f t="shared" si="4"/>
        <v>-9.5554252195200438E-3</v>
      </c>
      <c r="E162">
        <f t="shared" si="5"/>
        <v>-1.1565416120030651E-2</v>
      </c>
    </row>
    <row r="163" spans="1:5">
      <c r="A163" s="2">
        <v>45615</v>
      </c>
      <c r="B163">
        <v>21768.849609375</v>
      </c>
      <c r="C163">
        <v>1749.44299316406</v>
      </c>
      <c r="D163">
        <f t="shared" si="4"/>
        <v>1.0429708977884712E-2</v>
      </c>
      <c r="E163">
        <f t="shared" si="5"/>
        <v>1.6878923292089676E-2</v>
      </c>
    </row>
    <row r="164" spans="1:5">
      <c r="A164" s="2">
        <v>45617</v>
      </c>
      <c r="B164">
        <v>21740.099609375</v>
      </c>
      <c r="C164">
        <v>1752.14990234375</v>
      </c>
      <c r="D164">
        <f t="shared" si="4"/>
        <v>-1.3206945022771661E-3</v>
      </c>
      <c r="E164">
        <f t="shared" si="5"/>
        <v>1.5472977343458664E-3</v>
      </c>
    </row>
    <row r="165" spans="1:5">
      <c r="A165" s="2">
        <v>45618</v>
      </c>
      <c r="B165">
        <v>21962.05078125</v>
      </c>
      <c r="C165">
        <v>1767.21057128906</v>
      </c>
      <c r="D165">
        <f t="shared" si="4"/>
        <v>1.0209298754973865E-2</v>
      </c>
      <c r="E165">
        <f t="shared" si="5"/>
        <v>8.5955367889266835E-3</v>
      </c>
    </row>
    <row r="166" spans="1:5">
      <c r="A166" s="2">
        <v>45621</v>
      </c>
      <c r="B166">
        <v>22177.05078125</v>
      </c>
      <c r="C166">
        <v>1770.75415039062</v>
      </c>
      <c r="D166">
        <f t="shared" si="4"/>
        <v>9.7896140092506873E-3</v>
      </c>
      <c r="E166">
        <f t="shared" si="5"/>
        <v>2.005182154934258E-3</v>
      </c>
    </row>
    <row r="167" spans="1:5">
      <c r="A167" s="2">
        <v>45622</v>
      </c>
      <c r="B167">
        <v>21961.75</v>
      </c>
      <c r="C167">
        <v>1734.03771972656</v>
      </c>
      <c r="D167">
        <f t="shared" si="4"/>
        <v>-9.7082692993619348E-3</v>
      </c>
      <c r="E167">
        <f t="shared" si="5"/>
        <v>-2.0734911538092697E-2</v>
      </c>
    </row>
    <row r="168" spans="1:5">
      <c r="A168" s="2">
        <v>45623</v>
      </c>
      <c r="B168">
        <v>21828.599609375</v>
      </c>
      <c r="C168">
        <v>1722.07775878906</v>
      </c>
      <c r="D168">
        <f t="shared" si="4"/>
        <v>-6.0628315423406605E-3</v>
      </c>
      <c r="E168">
        <f t="shared" si="5"/>
        <v>-6.8971746124334389E-3</v>
      </c>
    </row>
    <row r="169" spans="1:5">
      <c r="A169" s="2">
        <v>45624</v>
      </c>
      <c r="B169">
        <v>21728.599609375</v>
      </c>
      <c r="C169">
        <v>1707.11560058593</v>
      </c>
      <c r="D169">
        <f t="shared" si="4"/>
        <v>-4.5811459181766181E-3</v>
      </c>
      <c r="E169">
        <f t="shared" si="5"/>
        <v>-8.6884335662352277E-3</v>
      </c>
    </row>
    <row r="170" spans="1:5">
      <c r="A170" s="2">
        <v>45625</v>
      </c>
      <c r="B170">
        <v>22240.19921875</v>
      </c>
      <c r="C170">
        <v>1753.03588867187</v>
      </c>
      <c r="D170">
        <f t="shared" si="4"/>
        <v>2.3544987646339884E-2</v>
      </c>
      <c r="E170">
        <f t="shared" si="5"/>
        <v>2.6899343003003937E-2</v>
      </c>
    </row>
    <row r="171" spans="1:5">
      <c r="A171" s="2">
        <v>45628</v>
      </c>
      <c r="B171">
        <v>22450.19921875</v>
      </c>
      <c r="C171">
        <v>1780.25329589843</v>
      </c>
      <c r="D171">
        <f t="shared" si="4"/>
        <v>9.4423614615356376E-3</v>
      </c>
      <c r="E171">
        <f t="shared" si="5"/>
        <v>1.552586995077458E-2</v>
      </c>
    </row>
    <row r="172" spans="1:5">
      <c r="A172" s="2">
        <v>45629</v>
      </c>
      <c r="B172">
        <v>22445.69921875</v>
      </c>
      <c r="C172">
        <v>1771.88623046875</v>
      </c>
      <c r="D172">
        <f t="shared" si="4"/>
        <v>-2.0044365558420887E-4</v>
      </c>
      <c r="E172">
        <f t="shared" si="5"/>
        <v>-4.6999297509837997E-3</v>
      </c>
    </row>
    <row r="173" spans="1:5">
      <c r="A173" s="2">
        <v>45630</v>
      </c>
      <c r="B173">
        <v>22422.900390625</v>
      </c>
      <c r="C173">
        <v>1772.03381347656</v>
      </c>
      <c r="D173">
        <f t="shared" si="4"/>
        <v>-1.0157325865774328E-3</v>
      </c>
      <c r="E173">
        <f t="shared" si="5"/>
        <v>8.3291469436475057E-5</v>
      </c>
    </row>
    <row r="174" spans="1:5">
      <c r="A174" s="2">
        <v>45631</v>
      </c>
      <c r="B174">
        <v>22463.400390625</v>
      </c>
      <c r="C174">
        <v>1785.07653808593</v>
      </c>
      <c r="D174">
        <f t="shared" si="4"/>
        <v>1.8061891768886877E-3</v>
      </c>
      <c r="E174">
        <f t="shared" si="5"/>
        <v>7.3603136182720042E-3</v>
      </c>
    </row>
    <row r="175" spans="1:5">
      <c r="A175" s="2">
        <v>45632</v>
      </c>
      <c r="B175">
        <v>22434.75</v>
      </c>
      <c r="C175">
        <v>1776.61096191406</v>
      </c>
      <c r="D175">
        <f t="shared" si="4"/>
        <v>-1.2754253642274531E-3</v>
      </c>
      <c r="E175">
        <f t="shared" si="5"/>
        <v>-4.742416356526267E-3</v>
      </c>
    </row>
    <row r="176" spans="1:5">
      <c r="A176" s="2">
        <v>45635</v>
      </c>
      <c r="B176">
        <v>22309.099609375</v>
      </c>
      <c r="C176">
        <v>1778.38293457031</v>
      </c>
      <c r="D176">
        <f t="shared" si="4"/>
        <v>-5.6007038467110176E-3</v>
      </c>
      <c r="E176">
        <f t="shared" si="5"/>
        <v>9.9738923953330617E-4</v>
      </c>
    </row>
    <row r="177" spans="1:5">
      <c r="A177" s="2">
        <v>45636</v>
      </c>
      <c r="B177">
        <v>22291.44921875</v>
      </c>
      <c r="C177">
        <v>1781.63122558593</v>
      </c>
      <c r="D177">
        <f t="shared" si="4"/>
        <v>-7.9117449534282141E-4</v>
      </c>
      <c r="E177">
        <f t="shared" si="5"/>
        <v>1.8265419401389186E-3</v>
      </c>
    </row>
    <row r="178" spans="1:5">
      <c r="A178" s="2">
        <v>45637</v>
      </c>
      <c r="B178">
        <v>22302.599609375</v>
      </c>
      <c r="C178">
        <v>1785.61791992187</v>
      </c>
      <c r="D178">
        <f t="shared" si="4"/>
        <v>5.0020931863061977E-4</v>
      </c>
      <c r="E178">
        <f t="shared" si="5"/>
        <v>2.2376652803830859E-3</v>
      </c>
    </row>
    <row r="179" spans="1:5">
      <c r="A179" s="2">
        <v>45638</v>
      </c>
      <c r="B179">
        <v>22229.30078125</v>
      </c>
      <c r="C179">
        <v>1777.20166015625</v>
      </c>
      <c r="D179">
        <f t="shared" si="4"/>
        <v>-3.2865598364680546E-3</v>
      </c>
      <c r="E179">
        <f t="shared" si="5"/>
        <v>-4.7133598244736771E-3</v>
      </c>
    </row>
    <row r="180" spans="1:5">
      <c r="A180" s="2">
        <v>45639</v>
      </c>
      <c r="B180">
        <v>22157.349609375</v>
      </c>
      <c r="C180">
        <v>1785.07653808593</v>
      </c>
      <c r="D180">
        <f t="shared" si="4"/>
        <v>-3.2367717087929942E-3</v>
      </c>
      <c r="E180">
        <f t="shared" si="5"/>
        <v>4.4310547903650081E-3</v>
      </c>
    </row>
    <row r="181" spans="1:5">
      <c r="A181" s="2">
        <v>45642</v>
      </c>
      <c r="B181">
        <v>22255.55078125</v>
      </c>
      <c r="C181">
        <v>1781.48376464843</v>
      </c>
      <c r="D181">
        <f t="shared" si="4"/>
        <v>4.4319909017209386E-3</v>
      </c>
      <c r="E181">
        <f t="shared" si="5"/>
        <v>-2.0126719279792869E-3</v>
      </c>
    </row>
    <row r="182" spans="1:5">
      <c r="A182" s="2">
        <v>45643</v>
      </c>
      <c r="B182">
        <v>22074.55078125</v>
      </c>
      <c r="C182">
        <v>1761.05847167968</v>
      </c>
      <c r="D182">
        <f t="shared" si="4"/>
        <v>-8.1328025434665961E-3</v>
      </c>
      <c r="E182">
        <f t="shared" si="5"/>
        <v>-1.1465326473396665E-2</v>
      </c>
    </row>
    <row r="183" spans="1:5">
      <c r="A183" s="2">
        <v>45644</v>
      </c>
      <c r="B183">
        <v>22314.55078125</v>
      </c>
      <c r="C183">
        <v>1772.87048339843</v>
      </c>
      <c r="D183">
        <f t="shared" si="4"/>
        <v>1.0872248426629576E-2</v>
      </c>
      <c r="E183">
        <f t="shared" si="5"/>
        <v>6.7073364733221041E-3</v>
      </c>
    </row>
    <row r="184" spans="1:5">
      <c r="A184" s="2">
        <v>45645</v>
      </c>
      <c r="B184">
        <v>22697.900390625</v>
      </c>
      <c r="C184">
        <v>1794.77258300781</v>
      </c>
      <c r="D184">
        <f t="shared" si="4"/>
        <v>1.7179355889033309E-2</v>
      </c>
      <c r="E184">
        <f t="shared" si="5"/>
        <v>1.2354032522102622E-2</v>
      </c>
    </row>
    <row r="185" spans="1:5">
      <c r="A185" s="2">
        <v>45646</v>
      </c>
      <c r="B185">
        <v>22501.849609375</v>
      </c>
      <c r="C185">
        <v>1780.54846191406</v>
      </c>
      <c r="D185">
        <f t="shared" si="4"/>
        <v>-8.6373971986843153E-3</v>
      </c>
      <c r="E185">
        <f t="shared" si="5"/>
        <v>-7.925305539218894E-3</v>
      </c>
    </row>
    <row r="186" spans="1:5">
      <c r="A186" s="2">
        <v>45649</v>
      </c>
      <c r="B186">
        <v>22572.05078125</v>
      </c>
      <c r="C186">
        <v>1786.20849609375</v>
      </c>
      <c r="D186">
        <f t="shared" si="4"/>
        <v>3.1197956209676166E-3</v>
      </c>
      <c r="E186">
        <f t="shared" si="5"/>
        <v>3.1788150116428501E-3</v>
      </c>
    </row>
    <row r="187" spans="1:5">
      <c r="A187" s="2">
        <v>45650</v>
      </c>
      <c r="B187">
        <v>22558.900390625</v>
      </c>
      <c r="C187">
        <v>1790.53967285156</v>
      </c>
      <c r="D187">
        <f t="shared" si="4"/>
        <v>-5.8259618288311133E-4</v>
      </c>
      <c r="E187">
        <f t="shared" si="5"/>
        <v>2.4247879053771308E-3</v>
      </c>
    </row>
    <row r="188" spans="1:5">
      <c r="A188" s="2">
        <v>45652</v>
      </c>
      <c r="B188">
        <v>22712.55078125</v>
      </c>
      <c r="C188">
        <v>1812.53991699218</v>
      </c>
      <c r="D188">
        <f t="shared" si="4"/>
        <v>6.8110762477081484E-3</v>
      </c>
      <c r="E188">
        <f t="shared" si="5"/>
        <v>1.228693475726403E-2</v>
      </c>
    </row>
    <row r="189" spans="1:5">
      <c r="A189" s="2">
        <v>45653</v>
      </c>
      <c r="B189">
        <v>23008.349609375</v>
      </c>
      <c r="C189">
        <v>1832.12854003906</v>
      </c>
      <c r="D189">
        <f t="shared" si="4"/>
        <v>1.3023584667962183E-2</v>
      </c>
      <c r="E189">
        <f t="shared" si="5"/>
        <v>1.0807278153292398E-2</v>
      </c>
    </row>
    <row r="190" spans="1:5">
      <c r="A190" s="2">
        <v>45656</v>
      </c>
      <c r="B190">
        <v>23241.150390625</v>
      </c>
      <c r="C190">
        <v>1854.42431640625</v>
      </c>
      <c r="D190">
        <f t="shared" si="4"/>
        <v>1.0118099959466142E-2</v>
      </c>
      <c r="E190">
        <f t="shared" si="5"/>
        <v>1.2169329760407896E-2</v>
      </c>
    </row>
    <row r="191" spans="1:5">
      <c r="A191" s="2">
        <v>45657</v>
      </c>
      <c r="B191">
        <v>23412.25</v>
      </c>
      <c r="C191">
        <v>1856.83581542968</v>
      </c>
      <c r="D191">
        <f t="shared" si="4"/>
        <v>7.3619251413655513E-3</v>
      </c>
      <c r="E191">
        <f t="shared" si="5"/>
        <v>1.3004030426560197E-3</v>
      </c>
    </row>
    <row r="192" spans="1:5">
      <c r="A192" s="2">
        <v>45658</v>
      </c>
      <c r="B192">
        <v>23459.75</v>
      </c>
      <c r="C192">
        <v>1860.37951660156</v>
      </c>
      <c r="D192">
        <f t="shared" si="4"/>
        <v>2.0288524170039191E-3</v>
      </c>
      <c r="E192">
        <f t="shared" si="5"/>
        <v>1.9084623112248479E-3</v>
      </c>
    </row>
    <row r="193" spans="1:5">
      <c r="A193" s="2">
        <v>45659</v>
      </c>
      <c r="B193">
        <v>23553.400390625</v>
      </c>
      <c r="C193">
        <v>1848.61669921875</v>
      </c>
      <c r="D193">
        <f t="shared" si="4"/>
        <v>3.9919602990227945E-3</v>
      </c>
      <c r="E193">
        <f t="shared" si="5"/>
        <v>-6.3228052544341455E-3</v>
      </c>
    </row>
    <row r="194" spans="1:5">
      <c r="A194" s="2">
        <v>45660</v>
      </c>
      <c r="B194">
        <v>23263.5</v>
      </c>
      <c r="C194">
        <v>1820.71020507812</v>
      </c>
      <c r="D194">
        <f t="shared" si="4"/>
        <v>-1.2308218168803751E-2</v>
      </c>
      <c r="E194">
        <f t="shared" si="5"/>
        <v>-1.509587907132055E-2</v>
      </c>
    </row>
    <row r="195" spans="1:5">
      <c r="A195" s="2">
        <v>45663</v>
      </c>
      <c r="B195">
        <v>23073.05078125</v>
      </c>
      <c r="C195">
        <v>1818.49536132812</v>
      </c>
      <c r="D195">
        <f t="shared" si="4"/>
        <v>-8.1866107314032717E-3</v>
      </c>
      <c r="E195">
        <f t="shared" si="5"/>
        <v>-1.2164724203899155E-3</v>
      </c>
    </row>
    <row r="196" spans="1:5">
      <c r="A196" s="2">
        <v>45664</v>
      </c>
      <c r="B196">
        <v>23228.55078125</v>
      </c>
      <c r="C196">
        <v>1824.40161132812</v>
      </c>
      <c r="D196">
        <f t="shared" si="4"/>
        <v>6.739464211917956E-3</v>
      </c>
      <c r="E196">
        <f t="shared" si="5"/>
        <v>3.2478774076643391E-3</v>
      </c>
    </row>
    <row r="197" spans="1:5">
      <c r="A197" s="2">
        <v>45665</v>
      </c>
      <c r="B197">
        <v>23011.099609375</v>
      </c>
      <c r="C197">
        <v>1808.99633789062</v>
      </c>
      <c r="D197">
        <f t="shared" si="4"/>
        <v>-9.3613748839865545E-3</v>
      </c>
      <c r="E197">
        <f t="shared" si="5"/>
        <v>-8.4440143781090698E-3</v>
      </c>
    </row>
    <row r="198" spans="1:5">
      <c r="A198" s="2">
        <v>45666</v>
      </c>
      <c r="B198">
        <v>22868.099609375</v>
      </c>
      <c r="C198">
        <v>1797.77478027343</v>
      </c>
      <c r="D198">
        <f t="shared" si="4"/>
        <v>-6.2143922901337608E-3</v>
      </c>
      <c r="E198">
        <f t="shared" si="5"/>
        <v>-6.203195320049623E-3</v>
      </c>
    </row>
    <row r="199" spans="1:5">
      <c r="A199" s="2">
        <v>45667</v>
      </c>
      <c r="B199">
        <v>22380.849609375</v>
      </c>
      <c r="C199">
        <v>1756.87487792968</v>
      </c>
      <c r="D199">
        <f t="shared" si="4"/>
        <v>-2.1306973833551394E-2</v>
      </c>
      <c r="E199">
        <f t="shared" si="5"/>
        <v>-2.2750292635393066E-2</v>
      </c>
    </row>
    <row r="200" spans="1:5">
      <c r="A200" s="2">
        <v>45670</v>
      </c>
      <c r="B200">
        <v>21903.349609375</v>
      </c>
      <c r="C200">
        <v>1719.56787109375</v>
      </c>
      <c r="D200">
        <f t="shared" ref="D200:D252" si="6">(B200-B199)/B199</f>
        <v>-2.1335204352563204E-2</v>
      </c>
      <c r="E200">
        <f t="shared" ref="E200:E252" si="7">(C200-C199)/C199</f>
        <v>-2.1234868404455171E-2</v>
      </c>
    </row>
    <row r="201" spans="1:5">
      <c r="A201" s="2">
        <v>45671</v>
      </c>
      <c r="B201">
        <v>22203.900390625</v>
      </c>
      <c r="C201">
        <v>1743.14306640625</v>
      </c>
      <c r="D201">
        <f t="shared" si="6"/>
        <v>1.3721681231867807E-2</v>
      </c>
      <c r="E201">
        <f t="shared" si="7"/>
        <v>1.3709953360261807E-2</v>
      </c>
    </row>
    <row r="202" spans="1:5">
      <c r="A202" s="2">
        <v>45672</v>
      </c>
      <c r="B202">
        <v>21972.69921875</v>
      </c>
      <c r="C202">
        <v>1729.36206054687</v>
      </c>
      <c r="D202">
        <f t="shared" si="6"/>
        <v>-1.0412637771182691E-2</v>
      </c>
      <c r="E202">
        <f t="shared" si="7"/>
        <v>-7.9058375212951431E-3</v>
      </c>
    </row>
    <row r="203" spans="1:5">
      <c r="A203" s="2">
        <v>45673</v>
      </c>
      <c r="B203">
        <v>21909.75</v>
      </c>
      <c r="C203">
        <v>1735.71118164062</v>
      </c>
      <c r="D203">
        <f t="shared" si="6"/>
        <v>-2.8648832864504622E-3</v>
      </c>
      <c r="E203">
        <f t="shared" si="7"/>
        <v>3.6713660132813601E-3</v>
      </c>
    </row>
    <row r="204" spans="1:5">
      <c r="A204" s="2">
        <v>45674</v>
      </c>
      <c r="B204">
        <v>22061.69921875</v>
      </c>
      <c r="C204">
        <v>1758.59741210937</v>
      </c>
      <c r="D204">
        <f t="shared" si="6"/>
        <v>6.9352328871849292E-3</v>
      </c>
      <c r="E204">
        <f t="shared" si="7"/>
        <v>1.3185506154956953E-2</v>
      </c>
    </row>
    <row r="205" spans="1:5">
      <c r="A205" s="2">
        <v>45677</v>
      </c>
      <c r="B205">
        <v>22182.400390625</v>
      </c>
      <c r="C205">
        <v>1750.42724609375</v>
      </c>
      <c r="D205">
        <f t="shared" si="6"/>
        <v>5.4710732241520805E-3</v>
      </c>
      <c r="E205">
        <f t="shared" si="7"/>
        <v>-4.6458421690841667E-3</v>
      </c>
    </row>
    <row r="206" spans="1:5">
      <c r="A206" s="2">
        <v>45678</v>
      </c>
      <c r="B206">
        <v>21882.900390625</v>
      </c>
      <c r="C206">
        <v>1735.12048339843</v>
      </c>
      <c r="D206">
        <f t="shared" si="6"/>
        <v>-1.3501694799746666E-2</v>
      </c>
      <c r="E206">
        <f t="shared" si="7"/>
        <v>-8.7445866313373179E-3</v>
      </c>
    </row>
    <row r="207" spans="1:5">
      <c r="A207" s="2">
        <v>45679</v>
      </c>
      <c r="B207">
        <v>22034.94921875</v>
      </c>
      <c r="C207">
        <v>1770.80334472656</v>
      </c>
      <c r="D207">
        <f t="shared" si="6"/>
        <v>6.9482941205609222E-3</v>
      </c>
      <c r="E207">
        <f t="shared" si="7"/>
        <v>2.0565062581845081E-2</v>
      </c>
    </row>
    <row r="208" spans="1:5">
      <c r="A208" s="2">
        <v>45680</v>
      </c>
      <c r="B208">
        <v>22343.30078125</v>
      </c>
      <c r="C208">
        <v>1804.9111328125</v>
      </c>
      <c r="D208">
        <f t="shared" si="6"/>
        <v>1.3993749631045993E-2</v>
      </c>
      <c r="E208">
        <f t="shared" si="7"/>
        <v>1.926119474955407E-2</v>
      </c>
    </row>
    <row r="209" spans="1:5">
      <c r="A209" s="2">
        <v>45681</v>
      </c>
      <c r="B209">
        <v>21872.400390625</v>
      </c>
      <c r="C209">
        <v>1793.68957519531</v>
      </c>
      <c r="D209">
        <f t="shared" si="6"/>
        <v>-2.1075685962217771E-2</v>
      </c>
      <c r="E209">
        <f t="shared" si="7"/>
        <v>-6.2172355265513969E-3</v>
      </c>
    </row>
    <row r="210" spans="1:5">
      <c r="A210" s="2">
        <v>45684</v>
      </c>
      <c r="B210">
        <v>21292.30078125</v>
      </c>
      <c r="C210">
        <v>1758.89270019531</v>
      </c>
      <c r="D210">
        <f t="shared" si="6"/>
        <v>-2.6521991140197106E-2</v>
      </c>
      <c r="E210">
        <f t="shared" si="7"/>
        <v>-1.939960820489859E-2</v>
      </c>
    </row>
    <row r="211" spans="1:5">
      <c r="A211" s="2">
        <v>45685</v>
      </c>
      <c r="B211">
        <v>20796.599609375</v>
      </c>
      <c r="C211">
        <v>1678.81555175781</v>
      </c>
      <c r="D211">
        <f t="shared" si="6"/>
        <v>-2.3280770686440539E-2</v>
      </c>
      <c r="E211">
        <f t="shared" si="7"/>
        <v>-4.5527023012039404E-2</v>
      </c>
    </row>
    <row r="212" spans="1:5">
      <c r="A212" s="2">
        <v>45686</v>
      </c>
      <c r="B212">
        <v>21163.900390625</v>
      </c>
      <c r="C212">
        <v>1708.19848632812</v>
      </c>
      <c r="D212">
        <f t="shared" si="6"/>
        <v>1.7661578726765634E-2</v>
      </c>
      <c r="E212">
        <f t="shared" si="7"/>
        <v>1.7502181546712795E-2</v>
      </c>
    </row>
    <row r="213" spans="1:5">
      <c r="A213" s="2">
        <v>45687</v>
      </c>
      <c r="B213">
        <v>21419.650390625</v>
      </c>
      <c r="C213">
        <v>1711.88989257812</v>
      </c>
      <c r="D213">
        <f t="shared" si="6"/>
        <v>1.2084256459328731E-2</v>
      </c>
      <c r="E213">
        <f t="shared" si="7"/>
        <v>2.1609937484108827E-3</v>
      </c>
    </row>
    <row r="214" spans="1:5">
      <c r="A214" s="2">
        <v>45688</v>
      </c>
      <c r="B214">
        <v>21438.599609375</v>
      </c>
      <c r="C214">
        <v>1716.66394042968</v>
      </c>
      <c r="D214">
        <f t="shared" si="6"/>
        <v>8.8466517447426389E-4</v>
      </c>
      <c r="E214">
        <f t="shared" si="7"/>
        <v>2.7887587117943926E-3</v>
      </c>
    </row>
    <row r="215" spans="1:5">
      <c r="A215" s="2">
        <v>45691</v>
      </c>
      <c r="B215">
        <v>21361.599609375</v>
      </c>
      <c r="C215">
        <v>1713.36633300781</v>
      </c>
      <c r="D215">
        <f t="shared" si="6"/>
        <v>-3.5916525054336223E-3</v>
      </c>
      <c r="E215">
        <f t="shared" si="7"/>
        <v>-1.9209394128967424E-3</v>
      </c>
    </row>
    <row r="216" spans="1:5">
      <c r="A216" s="2">
        <v>45692</v>
      </c>
      <c r="B216">
        <v>21733.94921875</v>
      </c>
      <c r="C216">
        <v>1737.63061523437</v>
      </c>
      <c r="D216">
        <f t="shared" si="6"/>
        <v>1.7430792458612804E-2</v>
      </c>
      <c r="E216">
        <f t="shared" si="7"/>
        <v>1.4161759665234063E-2</v>
      </c>
    </row>
    <row r="217" spans="1:5">
      <c r="A217" s="2">
        <v>45693</v>
      </c>
      <c r="B217">
        <v>21868.5</v>
      </c>
      <c r="C217">
        <v>1725.326171875</v>
      </c>
      <c r="D217">
        <f t="shared" si="6"/>
        <v>6.1908114303461373E-3</v>
      </c>
      <c r="E217">
        <f t="shared" si="7"/>
        <v>-7.0811616988633603E-3</v>
      </c>
    </row>
    <row r="218" spans="1:5">
      <c r="A218" s="2">
        <v>45694</v>
      </c>
      <c r="B218">
        <v>22009.05078125</v>
      </c>
      <c r="C218">
        <v>1725.07861328125</v>
      </c>
      <c r="D218">
        <f t="shared" si="6"/>
        <v>6.427088334819489E-3</v>
      </c>
      <c r="E218">
        <f t="shared" si="7"/>
        <v>-1.4348509736044021E-4</v>
      </c>
    </row>
    <row r="219" spans="1:5">
      <c r="A219" s="2">
        <v>45695</v>
      </c>
      <c r="B219">
        <v>22077</v>
      </c>
      <c r="C219">
        <v>1732.80297851562</v>
      </c>
      <c r="D219">
        <f t="shared" si="6"/>
        <v>3.0873307270428696E-3</v>
      </c>
      <c r="E219">
        <f t="shared" si="7"/>
        <v>4.4776888281500291E-3</v>
      </c>
    </row>
    <row r="220" spans="1:5">
      <c r="A220" s="2">
        <v>45698</v>
      </c>
      <c r="B220">
        <v>21665.650390625</v>
      </c>
      <c r="C220">
        <v>1715.27478027343</v>
      </c>
      <c r="D220">
        <f t="shared" si="6"/>
        <v>-1.8632495781809123E-2</v>
      </c>
      <c r="E220">
        <f t="shared" si="7"/>
        <v>-1.011551714737083E-2</v>
      </c>
    </row>
    <row r="221" spans="1:5">
      <c r="A221" s="2">
        <v>45699</v>
      </c>
      <c r="B221">
        <v>21249.5</v>
      </c>
      <c r="C221">
        <v>1683.23901367187</v>
      </c>
      <c r="D221">
        <f t="shared" si="6"/>
        <v>-1.9207842050524063E-2</v>
      </c>
      <c r="E221">
        <f t="shared" si="7"/>
        <v>-1.8676754867493133E-2</v>
      </c>
    </row>
    <row r="222" spans="1:5">
      <c r="A222" s="2">
        <v>45700</v>
      </c>
      <c r="B222">
        <v>21142.05078125</v>
      </c>
      <c r="C222">
        <v>1677.39636230468</v>
      </c>
      <c r="D222">
        <f t="shared" si="6"/>
        <v>-5.0565528012423821E-3</v>
      </c>
      <c r="E222">
        <f t="shared" si="7"/>
        <v>-3.4710764898709537E-3</v>
      </c>
    </row>
    <row r="223" spans="1:5">
      <c r="A223" s="2">
        <v>45701</v>
      </c>
      <c r="B223">
        <v>21427.099609375</v>
      </c>
      <c r="C223">
        <v>1729.38635253906</v>
      </c>
      <c r="D223">
        <f t="shared" si="6"/>
        <v>1.3482553375465254E-2</v>
      </c>
      <c r="E223">
        <f t="shared" si="7"/>
        <v>3.0994457483470215E-2</v>
      </c>
    </row>
    <row r="224" spans="1:5">
      <c r="A224" s="2">
        <v>45702</v>
      </c>
      <c r="B224">
        <v>20811.55078125</v>
      </c>
      <c r="C224">
        <v>1683.98168945312</v>
      </c>
      <c r="D224">
        <f t="shared" si="6"/>
        <v>-2.872758513035889E-2</v>
      </c>
      <c r="E224">
        <f t="shared" si="7"/>
        <v>-2.6254782813150763E-2</v>
      </c>
    </row>
    <row r="225" spans="1:5">
      <c r="A225" s="2">
        <v>45705</v>
      </c>
      <c r="B225">
        <v>21076</v>
      </c>
      <c r="C225">
        <v>1697.54858398437</v>
      </c>
      <c r="D225">
        <f t="shared" si="6"/>
        <v>1.2706848304079935E-2</v>
      </c>
      <c r="E225">
        <f t="shared" si="7"/>
        <v>8.0564382714018133E-3</v>
      </c>
    </row>
    <row r="226" spans="1:5">
      <c r="A226" s="2">
        <v>45706</v>
      </c>
      <c r="B226">
        <v>20969.19921875</v>
      </c>
      <c r="C226">
        <v>1685.07104492187</v>
      </c>
      <c r="D226">
        <f t="shared" si="6"/>
        <v>-5.0674122817422661E-3</v>
      </c>
      <c r="E226">
        <f t="shared" si="7"/>
        <v>-7.3503281026652996E-3</v>
      </c>
    </row>
    <row r="227" spans="1:5">
      <c r="A227" s="2">
        <v>45707</v>
      </c>
      <c r="B227">
        <v>20820</v>
      </c>
      <c r="C227">
        <v>1660.31384277343</v>
      </c>
      <c r="D227">
        <f t="shared" si="6"/>
        <v>-7.1151605358678047E-3</v>
      </c>
      <c r="E227">
        <f t="shared" si="7"/>
        <v>-1.4692082107189667E-2</v>
      </c>
    </row>
    <row r="228" spans="1:5">
      <c r="A228" s="2">
        <v>45708</v>
      </c>
      <c r="B228">
        <v>20785.75</v>
      </c>
      <c r="C228">
        <v>1653.08483886718</v>
      </c>
      <c r="D228">
        <f t="shared" si="6"/>
        <v>-1.6450528338136407E-3</v>
      </c>
      <c r="E228">
        <f t="shared" si="7"/>
        <v>-4.3539984549996226E-3</v>
      </c>
    </row>
    <row r="229" spans="1:5">
      <c r="A229" s="2">
        <v>45709</v>
      </c>
      <c r="B229">
        <v>20385.650390625</v>
      </c>
      <c r="C229">
        <v>1627.78308105468</v>
      </c>
      <c r="D229">
        <f t="shared" si="6"/>
        <v>-1.9248745384458102E-2</v>
      </c>
      <c r="E229">
        <f t="shared" si="7"/>
        <v>-1.5305782992867261E-2</v>
      </c>
    </row>
    <row r="230" spans="1:5">
      <c r="A230" s="2">
        <v>45712</v>
      </c>
      <c r="B230">
        <v>20389.69921875</v>
      </c>
      <c r="C230">
        <v>1623.57421875</v>
      </c>
      <c r="D230">
        <f t="shared" si="6"/>
        <v>1.9861167279028706E-4</v>
      </c>
      <c r="E230">
        <f t="shared" si="7"/>
        <v>-2.5856407734333822E-3</v>
      </c>
    </row>
    <row r="231" spans="1:5">
      <c r="A231" s="2">
        <v>45713</v>
      </c>
      <c r="B231">
        <v>20249.150390625</v>
      </c>
      <c r="C231">
        <v>1597.92590332031</v>
      </c>
      <c r="D231">
        <f t="shared" si="6"/>
        <v>-6.893129055859433E-3</v>
      </c>
      <c r="E231">
        <f t="shared" si="7"/>
        <v>-1.5797439460104756E-2</v>
      </c>
    </row>
    <row r="232" spans="1:5">
      <c r="A232" s="2">
        <v>45715</v>
      </c>
      <c r="B232">
        <v>20201.25</v>
      </c>
      <c r="C232">
        <v>1631.49658203125</v>
      </c>
      <c r="D232">
        <f t="shared" si="6"/>
        <v>-2.3655506379752621E-3</v>
      </c>
      <c r="E232">
        <f t="shared" si="7"/>
        <v>2.1008908261130201E-2</v>
      </c>
    </row>
    <row r="233" spans="1:5">
      <c r="A233" s="2">
        <v>45716</v>
      </c>
      <c r="B233">
        <v>19813.5</v>
      </c>
      <c r="C233">
        <v>1577.77355957031</v>
      </c>
      <c r="D233">
        <f t="shared" si="6"/>
        <v>-1.9194356784852422E-2</v>
      </c>
      <c r="E233">
        <f t="shared" si="7"/>
        <v>-3.2928676071177318E-2</v>
      </c>
    </row>
    <row r="234" spans="1:5">
      <c r="A234" s="2">
        <v>45719</v>
      </c>
      <c r="B234">
        <v>19879.80078125</v>
      </c>
      <c r="C234">
        <v>1569.70275878906</v>
      </c>
      <c r="D234">
        <f t="shared" si="6"/>
        <v>3.3462427763898354E-3</v>
      </c>
      <c r="E234">
        <f t="shared" si="7"/>
        <v>-5.1153099456477122E-3</v>
      </c>
    </row>
    <row r="235" spans="1:5">
      <c r="A235" s="2">
        <v>45720</v>
      </c>
      <c r="B235">
        <v>19820.650390625</v>
      </c>
      <c r="C235">
        <v>1551.28344726562</v>
      </c>
      <c r="D235">
        <f t="shared" si="6"/>
        <v>-2.9754015785102223E-3</v>
      </c>
      <c r="E235">
        <f t="shared" si="7"/>
        <v>-1.1734267153642192E-2</v>
      </c>
    </row>
    <row r="236" spans="1:5">
      <c r="A236" s="2">
        <v>45721</v>
      </c>
      <c r="B236">
        <v>20126.80078125</v>
      </c>
      <c r="C236">
        <v>1567.07849121093</v>
      </c>
      <c r="D236">
        <f t="shared" si="6"/>
        <v>1.544603151720019E-2</v>
      </c>
      <c r="E236">
        <f t="shared" si="7"/>
        <v>1.0181919992217564E-2</v>
      </c>
    </row>
    <row r="237" spans="1:5">
      <c r="A237" s="2">
        <v>45722</v>
      </c>
      <c r="B237">
        <v>20423.349609375</v>
      </c>
      <c r="C237">
        <v>1598.32202148437</v>
      </c>
      <c r="D237">
        <f t="shared" si="6"/>
        <v>1.4734027098895071E-2</v>
      </c>
      <c r="E237">
        <f t="shared" si="7"/>
        <v>1.9937438008798884E-2</v>
      </c>
    </row>
    <row r="238" spans="1:5">
      <c r="A238" s="2">
        <v>45723</v>
      </c>
      <c r="B238">
        <v>20378.30078125</v>
      </c>
      <c r="C238">
        <v>1593.66772460937</v>
      </c>
      <c r="D238">
        <f t="shared" si="6"/>
        <v>-2.2057512105811026E-3</v>
      </c>
      <c r="E238">
        <f t="shared" si="7"/>
        <v>-2.9119894567163195E-3</v>
      </c>
    </row>
    <row r="239" spans="1:5">
      <c r="A239" s="2">
        <v>45726</v>
      </c>
      <c r="B239">
        <v>20256.55078125</v>
      </c>
      <c r="C239">
        <v>1595.84631347656</v>
      </c>
      <c r="D239">
        <f t="shared" si="6"/>
        <v>-5.9744922457922369E-3</v>
      </c>
      <c r="E239">
        <f t="shared" si="7"/>
        <v>1.3670282917500908E-3</v>
      </c>
    </row>
    <row r="240" spans="1:5">
      <c r="A240" s="2">
        <v>45727</v>
      </c>
      <c r="B240">
        <v>20332.099609375</v>
      </c>
      <c r="C240">
        <v>1639.22082519531</v>
      </c>
      <c r="D240">
        <f t="shared" si="6"/>
        <v>3.7295998188857501E-3</v>
      </c>
      <c r="E240">
        <f t="shared" si="7"/>
        <v>2.7179629612489681E-2</v>
      </c>
    </row>
    <row r="241" spans="1:5">
      <c r="A241" s="2">
        <v>45728</v>
      </c>
      <c r="B241">
        <v>20424</v>
      </c>
      <c r="C241">
        <v>1660.5615234375</v>
      </c>
      <c r="D241">
        <f t="shared" si="6"/>
        <v>4.5199655908937869E-3</v>
      </c>
      <c r="E241">
        <f t="shared" si="7"/>
        <v>1.301880619998059E-2</v>
      </c>
    </row>
    <row r="242" spans="1:5">
      <c r="A242" s="2">
        <v>45729</v>
      </c>
      <c r="B242">
        <v>20386.849609375</v>
      </c>
      <c r="C242">
        <v>1667.09741210937</v>
      </c>
      <c r="D242">
        <f t="shared" si="6"/>
        <v>-1.8189576295045045E-3</v>
      </c>
      <c r="E242">
        <f t="shared" si="7"/>
        <v>3.9359509296229911E-3</v>
      </c>
    </row>
    <row r="243" spans="1:5">
      <c r="A243" s="2">
        <v>45733</v>
      </c>
      <c r="B243">
        <v>20703.94921875</v>
      </c>
      <c r="C243">
        <v>1687.74487304687</v>
      </c>
      <c r="D243">
        <f t="shared" si="6"/>
        <v>1.5554125107646847E-2</v>
      </c>
      <c r="E243">
        <f t="shared" si="7"/>
        <v>1.2385275621881549E-2</v>
      </c>
    </row>
    <row r="244" spans="1:5">
      <c r="A244" s="2">
        <v>45734</v>
      </c>
      <c r="B244">
        <v>21041.30078125</v>
      </c>
      <c r="C244">
        <v>1687.74487304687</v>
      </c>
      <c r="D244">
        <f t="shared" si="6"/>
        <v>1.6294068292752872E-2</v>
      </c>
      <c r="E244">
        <f t="shared" si="7"/>
        <v>0</v>
      </c>
    </row>
    <row r="245" spans="1:5">
      <c r="A245" s="2">
        <v>45735</v>
      </c>
      <c r="B245">
        <v>21145.650390625</v>
      </c>
      <c r="C245">
        <v>1715.52233886718</v>
      </c>
      <c r="D245">
        <f t="shared" si="6"/>
        <v>4.9592755913639344E-3</v>
      </c>
      <c r="E245">
        <f t="shared" si="7"/>
        <v>1.6458332218283443E-2</v>
      </c>
    </row>
    <row r="246" spans="1:5">
      <c r="A246" s="2">
        <v>45736</v>
      </c>
      <c r="B246">
        <v>21340.599609375</v>
      </c>
      <c r="C246">
        <v>1733.24853515625</v>
      </c>
      <c r="D246">
        <f t="shared" si="6"/>
        <v>9.2193531600442725E-3</v>
      </c>
      <c r="E246">
        <f t="shared" si="7"/>
        <v>1.0332827435389292E-2</v>
      </c>
    </row>
    <row r="247" spans="1:5">
      <c r="A247" s="2">
        <v>45737</v>
      </c>
      <c r="B247">
        <v>21625.900390625</v>
      </c>
      <c r="C247">
        <v>1767.16577148437</v>
      </c>
      <c r="D247">
        <f t="shared" si="6"/>
        <v>1.3368920577314349E-2</v>
      </c>
      <c r="E247">
        <f t="shared" si="7"/>
        <v>1.9568593678380004E-2</v>
      </c>
    </row>
    <row r="248" spans="1:5">
      <c r="A248" s="2">
        <v>45740</v>
      </c>
      <c r="B248">
        <v>21771.150390625</v>
      </c>
      <c r="C248">
        <v>1767.462890625</v>
      </c>
      <c r="D248">
        <f t="shared" si="6"/>
        <v>6.7164833545135085E-3</v>
      </c>
      <c r="E248">
        <f t="shared" si="7"/>
        <v>1.6813314598122304E-4</v>
      </c>
    </row>
    <row r="249" spans="1:5">
      <c r="A249" s="2">
        <v>45741</v>
      </c>
      <c r="B249">
        <v>21542.5</v>
      </c>
      <c r="C249">
        <v>1747.60754394531</v>
      </c>
      <c r="D249">
        <f t="shared" si="6"/>
        <v>-1.0502448723309563E-2</v>
      </c>
      <c r="E249">
        <f t="shared" si="7"/>
        <v>-1.1233812480594072E-2</v>
      </c>
    </row>
    <row r="250" spans="1:5">
      <c r="A250" s="2">
        <v>45742</v>
      </c>
      <c r="B250">
        <v>21360.599609375</v>
      </c>
      <c r="C250">
        <v>1741.86389160156</v>
      </c>
      <c r="D250">
        <f t="shared" si="6"/>
        <v>-8.4437920680051053E-3</v>
      </c>
      <c r="E250">
        <f t="shared" si="7"/>
        <v>-3.2865801956790722E-3</v>
      </c>
    </row>
    <row r="251" spans="1:5">
      <c r="A251" s="2">
        <v>45743</v>
      </c>
      <c r="B251">
        <v>21275.150390625</v>
      </c>
      <c r="C251">
        <v>1714.63110351562</v>
      </c>
      <c r="D251">
        <f t="shared" si="6"/>
        <v>-4.0003192940565677E-3</v>
      </c>
      <c r="E251">
        <f t="shared" si="7"/>
        <v>-1.5634280162327013E-2</v>
      </c>
    </row>
    <row r="252" spans="1:5">
      <c r="A252" s="2">
        <v>45744</v>
      </c>
      <c r="B252">
        <v>21137.44921875</v>
      </c>
      <c r="C252">
        <v>1717.84948730468</v>
      </c>
      <c r="D252">
        <f t="shared" si="6"/>
        <v>-6.4723947585197186E-3</v>
      </c>
      <c r="E252">
        <f t="shared" si="7"/>
        <v>1.8770123687020122E-3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084C7-B413-4A9A-979D-F1BFD3A77277}">
  <dimension ref="A1:X252"/>
  <sheetViews>
    <sheetView tabSelected="1" topLeftCell="C1" zoomScale="57" workbookViewId="0">
      <selection activeCell="P2" sqref="P2:T2"/>
    </sheetView>
  </sheetViews>
  <sheetFormatPr defaultRowHeight="15" customHeight="1"/>
  <cols>
    <col min="2" max="2" width="52.6640625" bestFit="1" customWidth="1"/>
    <col min="3" max="3" width="10.6640625" bestFit="1" customWidth="1"/>
    <col min="6" max="6" width="58.88671875" bestFit="1" customWidth="1"/>
    <col min="7" max="7" width="10.6640625" bestFit="1" customWidth="1"/>
    <col min="8" max="9" width="9.5546875" customWidth="1"/>
    <col min="10" max="10" width="21.88671875" bestFit="1" customWidth="1"/>
    <col min="11" max="11" width="14.109375" bestFit="1" customWidth="1"/>
    <col min="12" max="12" width="21.5546875" bestFit="1" customWidth="1"/>
    <col min="13" max="13" width="75.109375" bestFit="1" customWidth="1"/>
    <col min="14" max="14" width="17.44140625" customWidth="1"/>
    <col min="16" max="16" width="12.5546875" bestFit="1" customWidth="1"/>
    <col min="17" max="17" width="16.88671875" bestFit="1" customWidth="1"/>
    <col min="18" max="18" width="20" bestFit="1" customWidth="1"/>
    <col min="19" max="20" width="15.109375" bestFit="1" customWidth="1"/>
    <col min="23" max="23" width="27" bestFit="1" customWidth="1"/>
    <col min="24" max="24" width="16.5546875" bestFit="1" customWidth="1"/>
  </cols>
  <sheetData>
    <row r="1" spans="1:24" ht="14.4">
      <c r="A1" s="3"/>
      <c r="B1" s="3"/>
      <c r="C1" s="3"/>
      <c r="D1" s="3"/>
      <c r="E1" s="3"/>
      <c r="F1" s="3"/>
      <c r="G1" s="3"/>
      <c r="H1" s="3"/>
      <c r="I1" s="3"/>
      <c r="J1" s="3"/>
      <c r="K1" s="3"/>
      <c r="L1" s="3"/>
      <c r="M1" s="3"/>
      <c r="N1" s="3"/>
      <c r="P1" s="54"/>
      <c r="Q1" s="54"/>
      <c r="R1" s="54"/>
      <c r="S1" s="54"/>
      <c r="T1" s="54"/>
    </row>
    <row r="2" spans="1:24" ht="21">
      <c r="A2" s="3"/>
      <c r="B2" s="3"/>
      <c r="C2" s="61" t="s">
        <v>13</v>
      </c>
      <c r="D2" s="62"/>
      <c r="E2" s="62"/>
      <c r="F2" s="63"/>
      <c r="G2" s="3"/>
      <c r="H2" s="3"/>
      <c r="I2" s="3"/>
      <c r="J2" s="3"/>
      <c r="K2" s="3"/>
      <c r="L2" s="3"/>
      <c r="M2" s="3"/>
      <c r="N2" s="3"/>
      <c r="P2" s="64" t="s">
        <v>0</v>
      </c>
      <c r="Q2" s="65"/>
      <c r="R2" s="65"/>
      <c r="S2" s="65"/>
      <c r="T2" s="66"/>
    </row>
    <row r="3" spans="1:24" ht="14.4">
      <c r="A3" s="3"/>
      <c r="B3" s="3"/>
      <c r="C3" s="3"/>
      <c r="D3" s="3"/>
      <c r="E3" s="3"/>
      <c r="F3" s="3"/>
      <c r="G3" s="3"/>
      <c r="H3" s="3"/>
      <c r="I3" s="3"/>
      <c r="J3" s="3"/>
      <c r="K3" s="3"/>
      <c r="L3" s="3"/>
      <c r="M3" s="3"/>
      <c r="N3" s="3"/>
      <c r="P3" s="57" t="s">
        <v>1</v>
      </c>
      <c r="Q3" s="57" t="s">
        <v>2</v>
      </c>
      <c r="R3" s="57" t="s">
        <v>2</v>
      </c>
      <c r="S3" s="57" t="s">
        <v>3</v>
      </c>
      <c r="T3" s="57" t="s">
        <v>3</v>
      </c>
      <c r="W3" s="58" t="s">
        <v>4</v>
      </c>
      <c r="X3" s="58" t="s">
        <v>5</v>
      </c>
    </row>
    <row r="4" spans="1:24" ht="14.4">
      <c r="A4" s="3"/>
      <c r="B4" s="4" t="s">
        <v>14</v>
      </c>
      <c r="C4" s="5">
        <v>46105</v>
      </c>
      <c r="D4" s="3"/>
      <c r="E4" s="3"/>
      <c r="F4" s="29" t="s">
        <v>15</v>
      </c>
      <c r="G4" s="30">
        <v>46105</v>
      </c>
      <c r="H4" s="28"/>
      <c r="I4" s="28"/>
      <c r="J4" s="3"/>
      <c r="K4" s="3"/>
      <c r="L4" s="6"/>
      <c r="M4" s="6"/>
      <c r="N4" s="3"/>
      <c r="P4" s="57" t="s">
        <v>6</v>
      </c>
      <c r="Q4" s="57" t="s">
        <v>7</v>
      </c>
      <c r="R4" s="57" t="s">
        <v>0</v>
      </c>
      <c r="S4" s="57" t="s">
        <v>8</v>
      </c>
      <c r="T4" s="57" t="s">
        <v>9</v>
      </c>
      <c r="W4" s="43">
        <f>_xlfn.COVARIANCE.S(S7:S252,T7:T252)</f>
        <v>9.8848110444448413E-5</v>
      </c>
      <c r="X4" s="43">
        <f>_xlfn.VAR.S(S7:S252)</f>
        <v>1.0123143075821166E-4</v>
      </c>
    </row>
    <row r="5" spans="1:24" ht="14.4">
      <c r="A5" s="3"/>
      <c r="B5" s="7" t="s">
        <v>16</v>
      </c>
      <c r="C5" s="8" t="s">
        <v>17</v>
      </c>
      <c r="D5" s="3"/>
      <c r="E5" s="3"/>
      <c r="F5" s="23" t="s">
        <v>16</v>
      </c>
      <c r="G5" s="31" t="s">
        <v>17</v>
      </c>
      <c r="H5" s="13"/>
      <c r="I5" s="13"/>
      <c r="J5" s="3"/>
      <c r="K5" s="3"/>
      <c r="L5" s="3"/>
      <c r="M5" s="3"/>
      <c r="N5" s="3"/>
      <c r="P5" s="57" t="s">
        <v>10</v>
      </c>
      <c r="Q5" s="57"/>
      <c r="R5" s="57"/>
      <c r="S5" s="57"/>
      <c r="T5" s="57"/>
      <c r="W5" s="59"/>
      <c r="X5" s="59"/>
    </row>
    <row r="6" spans="1:24" ht="14.4">
      <c r="A6" s="3"/>
      <c r="B6" s="7" t="s">
        <v>18</v>
      </c>
      <c r="C6" s="8" t="s">
        <v>19</v>
      </c>
      <c r="D6" s="3"/>
      <c r="E6" s="3"/>
      <c r="F6" s="23" t="s">
        <v>20</v>
      </c>
      <c r="G6" s="23" t="s">
        <v>19</v>
      </c>
      <c r="H6" s="3"/>
      <c r="I6" s="3"/>
      <c r="J6" s="3"/>
      <c r="K6" s="3"/>
      <c r="L6" s="3"/>
      <c r="M6" s="3"/>
      <c r="N6" s="3"/>
      <c r="P6" s="53">
        <v>45383</v>
      </c>
      <c r="Q6" s="41">
        <v>19207.900390625</v>
      </c>
      <c r="R6" s="41">
        <v>1598.68884277343</v>
      </c>
      <c r="S6" s="41"/>
      <c r="T6" s="41"/>
      <c r="W6" s="58" t="s">
        <v>11</v>
      </c>
      <c r="X6" s="59"/>
    </row>
    <row r="7" spans="1:24" ht="14.4">
      <c r="A7" s="3"/>
      <c r="B7" s="7" t="s">
        <v>21</v>
      </c>
      <c r="C7" s="8" t="s">
        <v>19</v>
      </c>
      <c r="D7" s="3"/>
      <c r="E7" s="3"/>
      <c r="F7" s="23" t="s">
        <v>22</v>
      </c>
      <c r="G7" s="32">
        <v>47758.45</v>
      </c>
      <c r="H7" s="21"/>
      <c r="I7" s="21"/>
      <c r="J7" s="3"/>
      <c r="K7" s="3"/>
      <c r="L7" s="3"/>
      <c r="M7" s="3"/>
      <c r="N7" s="3"/>
      <c r="P7" s="53">
        <v>45384</v>
      </c>
      <c r="Q7" s="41">
        <v>19185.150390625</v>
      </c>
      <c r="R7" s="41">
        <v>1591.82019042968</v>
      </c>
      <c r="S7" s="41">
        <f>(Q7-Q6)/Q6</f>
        <v>-1.1844084744995777E-3</v>
      </c>
      <c r="T7" s="41">
        <f>(R7-R6)/R6</f>
        <v>-4.2964285231603646E-3</v>
      </c>
      <c r="W7" s="43">
        <f>W4/X4</f>
        <v>0.97645671610178331</v>
      </c>
      <c r="X7" s="59"/>
    </row>
    <row r="8" spans="1:24" ht="14.4">
      <c r="A8" s="3"/>
      <c r="B8" s="7" t="s">
        <v>23</v>
      </c>
      <c r="C8" s="8">
        <v>239.93</v>
      </c>
      <c r="D8" s="3"/>
      <c r="E8" s="3"/>
      <c r="F8" s="23" t="s">
        <v>24</v>
      </c>
      <c r="G8" s="23">
        <v>0</v>
      </c>
      <c r="H8" s="3"/>
      <c r="I8" s="3"/>
      <c r="J8" s="3"/>
      <c r="K8" s="3"/>
      <c r="L8" s="3"/>
      <c r="M8" s="3"/>
      <c r="N8" s="3"/>
      <c r="P8" s="53">
        <v>45385</v>
      </c>
      <c r="Q8" s="41">
        <v>19153.05078125</v>
      </c>
      <c r="R8" s="41">
        <v>1589.46520996093</v>
      </c>
      <c r="S8" s="41">
        <f t="shared" ref="S8:T71" si="0">(Q8-Q7)/Q7</f>
        <v>-1.6731486968528414E-3</v>
      </c>
      <c r="T8" s="41">
        <f t="shared" si="0"/>
        <v>-1.479426183251464E-3</v>
      </c>
      <c r="W8" s="59"/>
      <c r="X8" s="59"/>
    </row>
    <row r="9" spans="1:24" ht="14.4">
      <c r="A9" s="3"/>
      <c r="B9" s="7" t="s">
        <v>25</v>
      </c>
      <c r="C9" s="8">
        <v>239.93</v>
      </c>
      <c r="D9" s="3"/>
      <c r="E9" s="3"/>
      <c r="F9" s="23" t="s">
        <v>26</v>
      </c>
      <c r="G9" s="32">
        <v>47758.45</v>
      </c>
      <c r="H9" s="21"/>
      <c r="I9" s="21"/>
      <c r="J9" s="3"/>
      <c r="K9" s="3"/>
      <c r="L9" s="3"/>
      <c r="M9" s="3"/>
      <c r="N9" s="3"/>
      <c r="P9" s="53">
        <v>45386</v>
      </c>
      <c r="Q9" s="41">
        <v>19125.19921875</v>
      </c>
      <c r="R9" s="41">
        <v>1588.974609375</v>
      </c>
      <c r="S9" s="41">
        <f t="shared" si="0"/>
        <v>-1.4541580251677432E-3</v>
      </c>
      <c r="T9" s="41">
        <f t="shared" si="0"/>
        <v>-3.0865764337305372E-4</v>
      </c>
      <c r="W9" s="58" t="s">
        <v>12</v>
      </c>
      <c r="X9" s="59"/>
    </row>
    <row r="10" spans="1:24" ht="14.4">
      <c r="A10" s="3"/>
      <c r="B10" s="7" t="s">
        <v>27</v>
      </c>
      <c r="C10" s="10">
        <v>63426.82</v>
      </c>
      <c r="D10" s="3"/>
      <c r="E10" s="3"/>
      <c r="F10" s="23" t="s">
        <v>28</v>
      </c>
      <c r="G10" s="32">
        <v>48496.85</v>
      </c>
      <c r="H10" s="21"/>
      <c r="I10" s="21"/>
      <c r="J10" s="3"/>
      <c r="K10" s="3"/>
      <c r="L10" s="3"/>
      <c r="M10" s="3"/>
      <c r="N10" s="3"/>
      <c r="P10" s="53">
        <v>45387</v>
      </c>
      <c r="Q10" s="41">
        <v>19160.75</v>
      </c>
      <c r="R10" s="41">
        <v>1578.81872558593</v>
      </c>
      <c r="S10" s="41">
        <f t="shared" si="0"/>
        <v>1.8588450161160495E-3</v>
      </c>
      <c r="T10" s="41">
        <f t="shared" si="0"/>
        <v>-6.3914701526065747E-3</v>
      </c>
      <c r="W10" s="43">
        <f>AVERAGE(S7:S252)</f>
        <v>4.3962859287504746E-4</v>
      </c>
      <c r="X10" s="59"/>
    </row>
    <row r="11" spans="1:24" ht="14.4">
      <c r="A11" s="3"/>
      <c r="B11" s="7" t="s">
        <v>29</v>
      </c>
      <c r="C11" s="10">
        <v>63426.82</v>
      </c>
      <c r="D11" s="3"/>
      <c r="E11" s="3"/>
      <c r="F11" s="23" t="s">
        <v>30</v>
      </c>
      <c r="G11" s="32">
        <v>1354.19</v>
      </c>
      <c r="H11" s="21"/>
      <c r="I11" s="21"/>
      <c r="J11" s="3"/>
      <c r="K11" s="3"/>
      <c r="L11" s="3"/>
      <c r="M11" s="3"/>
      <c r="N11" s="3"/>
      <c r="P11" s="53">
        <v>45390</v>
      </c>
      <c r="Q11" s="41">
        <v>19218.849609375</v>
      </c>
      <c r="R11" s="41">
        <v>1569.69311523437</v>
      </c>
      <c r="S11" s="41">
        <f t="shared" si="0"/>
        <v>3.0322200005219002E-3</v>
      </c>
      <c r="T11" s="41">
        <f t="shared" si="0"/>
        <v>-5.7800241431601399E-3</v>
      </c>
    </row>
    <row r="12" spans="1:24" ht="14.4">
      <c r="A12" s="3"/>
      <c r="B12" s="7" t="s">
        <v>31</v>
      </c>
      <c r="C12" s="10">
        <v>63666.75</v>
      </c>
      <c r="D12" s="3"/>
      <c r="E12" s="3"/>
      <c r="F12" s="23" t="s">
        <v>32</v>
      </c>
      <c r="G12" s="32">
        <v>49851.040000000001</v>
      </c>
      <c r="H12" s="21"/>
      <c r="I12" s="21"/>
      <c r="N12" s="3"/>
      <c r="P12" s="53">
        <v>45391</v>
      </c>
      <c r="Q12" s="41">
        <v>19182.30078125</v>
      </c>
      <c r="R12" s="41">
        <v>1572.48986816406</v>
      </c>
      <c r="S12" s="41">
        <f t="shared" si="0"/>
        <v>-1.901717785812289E-3</v>
      </c>
      <c r="T12" s="41">
        <f t="shared" si="0"/>
        <v>1.7817195619619058E-3</v>
      </c>
    </row>
    <row r="13" spans="1:24" ht="14.4">
      <c r="A13" s="3"/>
      <c r="B13" s="7" t="s">
        <v>33</v>
      </c>
      <c r="C13" s="10">
        <v>3439.22</v>
      </c>
      <c r="D13" s="3"/>
      <c r="E13" s="3"/>
      <c r="F13" s="23" t="s">
        <v>34</v>
      </c>
      <c r="G13" s="23" t="s">
        <v>19</v>
      </c>
      <c r="H13" s="3"/>
      <c r="I13" s="3"/>
      <c r="J13" s="51" t="s">
        <v>35</v>
      </c>
      <c r="K13" s="45">
        <f>C15 + C21</f>
        <v>2845.69</v>
      </c>
      <c r="L13" s="46" t="str">
        <f ca="1">_xlfn.FORMULATEXT(K13)</f>
        <v>=C15 + C21</v>
      </c>
      <c r="M13" s="46" t="s">
        <v>36</v>
      </c>
      <c r="N13" s="3"/>
      <c r="P13" s="53">
        <v>45392</v>
      </c>
      <c r="Q13" s="41">
        <v>19117</v>
      </c>
      <c r="R13" s="41">
        <v>1573.96166992187</v>
      </c>
      <c r="S13" s="41">
        <f t="shared" si="0"/>
        <v>-3.4042204840114454E-3</v>
      </c>
      <c r="T13" s="41">
        <f t="shared" si="0"/>
        <v>9.3596899261957206E-4</v>
      </c>
    </row>
    <row r="14" spans="1:24" ht="14.4">
      <c r="A14" s="3"/>
      <c r="B14" s="7" t="s">
        <v>37</v>
      </c>
      <c r="C14" s="8" t="s">
        <v>19</v>
      </c>
      <c r="D14" s="3"/>
      <c r="E14" s="3"/>
      <c r="F14" s="23" t="s">
        <v>38</v>
      </c>
      <c r="G14" s="32">
        <v>6904.33</v>
      </c>
      <c r="H14" s="21"/>
      <c r="I14" s="21"/>
      <c r="J14" s="52" t="s">
        <v>39</v>
      </c>
      <c r="K14" s="47">
        <f>K27 / K28</f>
        <v>3.2751775504222009</v>
      </c>
      <c r="L14" s="48" t="str">
        <f ca="1">_xlfn.FORMULATEXT(K14)</f>
        <v>=K27 / K28</v>
      </c>
      <c r="M14" s="48" t="s">
        <v>40</v>
      </c>
      <c r="N14" s="3"/>
      <c r="P14" s="53">
        <v>45394</v>
      </c>
      <c r="Q14" s="41">
        <v>18788.650390625</v>
      </c>
      <c r="R14" s="41">
        <v>1511.11303710937</v>
      </c>
      <c r="S14" s="41">
        <f t="shared" si="0"/>
        <v>-1.717579167102579E-2</v>
      </c>
      <c r="T14" s="41">
        <f t="shared" si="0"/>
        <v>-3.9930218132706974E-2</v>
      </c>
    </row>
    <row r="15" spans="1:24" ht="14.4">
      <c r="A15" s="3"/>
      <c r="B15" s="7" t="s">
        <v>41</v>
      </c>
      <c r="C15" s="8">
        <v>1.33</v>
      </c>
      <c r="D15" s="3"/>
      <c r="E15" s="3"/>
      <c r="F15" s="23" t="s">
        <v>42</v>
      </c>
      <c r="G15" s="32">
        <v>3466.15</v>
      </c>
      <c r="H15" s="21"/>
      <c r="I15" s="21"/>
      <c r="J15" s="51" t="s">
        <v>43</v>
      </c>
      <c r="K15" s="49">
        <f>K28 / K29</f>
        <v>1.0215072479975902</v>
      </c>
      <c r="L15" s="46" t="str">
        <f t="shared" ref="L15:L21" ca="1" si="1">_xlfn.FORMULATEXT(K15)</f>
        <v>=K28 / K29</v>
      </c>
      <c r="M15" s="46" t="s">
        <v>44</v>
      </c>
      <c r="N15" s="3"/>
      <c r="P15" s="53">
        <v>45397</v>
      </c>
      <c r="Q15" s="41">
        <v>18617.650390625</v>
      </c>
      <c r="R15" s="41">
        <v>1511.16223144531</v>
      </c>
      <c r="S15" s="41">
        <f t="shared" si="0"/>
        <v>-9.1012391228123615E-3</v>
      </c>
      <c r="T15" s="41">
        <f t="shared" si="0"/>
        <v>3.2555033761144477E-5</v>
      </c>
    </row>
    <row r="16" spans="1:24" ht="14.4">
      <c r="A16" s="3"/>
      <c r="B16" s="7" t="s">
        <v>45</v>
      </c>
      <c r="C16" s="8">
        <v>155.06</v>
      </c>
      <c r="D16" s="3"/>
      <c r="E16" s="3"/>
      <c r="F16" s="23" t="s">
        <v>46</v>
      </c>
      <c r="G16" s="23">
        <v>630.26</v>
      </c>
      <c r="H16" s="3"/>
      <c r="I16" s="3"/>
      <c r="J16" s="51" t="s">
        <v>47</v>
      </c>
      <c r="K16" s="46">
        <f>K14 * K15</f>
        <v>3.3456176062352712</v>
      </c>
      <c r="L16" s="46" t="str">
        <f t="shared" ca="1" si="1"/>
        <v>=K14 * K15</v>
      </c>
      <c r="M16" s="46" t="s">
        <v>48</v>
      </c>
      <c r="N16" s="3"/>
      <c r="P16" s="53">
        <v>45398</v>
      </c>
      <c r="Q16" s="41">
        <v>18695.599609375</v>
      </c>
      <c r="R16" s="41">
        <v>1508.70910644531</v>
      </c>
      <c r="S16" s="41">
        <f t="shared" si="0"/>
        <v>4.1868451235528448E-3</v>
      </c>
      <c r="T16" s="41">
        <f t="shared" si="0"/>
        <v>-1.6233366272354328E-3</v>
      </c>
    </row>
    <row r="17" spans="1:20" ht="14.4">
      <c r="A17" s="3"/>
      <c r="B17" s="7" t="s">
        <v>49</v>
      </c>
      <c r="C17" s="8">
        <v>802.23</v>
      </c>
      <c r="D17" s="3"/>
      <c r="E17" s="3"/>
      <c r="F17" s="23" t="s">
        <v>50</v>
      </c>
      <c r="G17" s="23">
        <v>292.13</v>
      </c>
      <c r="H17" s="3"/>
      <c r="I17" s="3"/>
      <c r="J17" s="51" t="s">
        <v>51</v>
      </c>
      <c r="K17" s="46">
        <f>G19 / (C15 + C21)</f>
        <v>8.3800413959356071E-2</v>
      </c>
      <c r="L17" s="46" t="str">
        <f t="shared" ca="1" si="1"/>
        <v>=G19 / (C15 + C21)</v>
      </c>
      <c r="M17" s="46" t="s">
        <v>52</v>
      </c>
      <c r="N17" s="3"/>
      <c r="P17" s="53">
        <v>45400</v>
      </c>
      <c r="Q17" s="41">
        <v>18525.75</v>
      </c>
      <c r="R17" s="41">
        <v>1487.95568847656</v>
      </c>
      <c r="S17" s="41">
        <f t="shared" si="0"/>
        <v>-9.0850046494271343E-3</v>
      </c>
      <c r="T17" s="41">
        <f t="shared" si="0"/>
        <v>-1.3755745146688621E-2</v>
      </c>
    </row>
    <row r="18" spans="1:20" ht="14.4">
      <c r="A18" s="3"/>
      <c r="B18" s="7" t="s">
        <v>53</v>
      </c>
      <c r="C18" s="8">
        <v>413.89</v>
      </c>
      <c r="D18" s="3"/>
      <c r="E18" s="3"/>
      <c r="F18" s="23" t="s">
        <v>54</v>
      </c>
      <c r="G18" s="32">
        <v>9429.06</v>
      </c>
      <c r="H18" s="21"/>
      <c r="I18" s="21"/>
      <c r="J18" s="51" t="s">
        <v>55</v>
      </c>
      <c r="K18" s="49">
        <f>K33+K31*(K32-K33)</f>
        <v>0.10975552963119112</v>
      </c>
      <c r="L18" s="46" t="str">
        <f t="shared" ca="1" si="1"/>
        <v>=K33+K31*(K32-K33)</v>
      </c>
      <c r="M18" s="46" t="s">
        <v>56</v>
      </c>
      <c r="N18" s="3"/>
      <c r="P18" s="53">
        <v>45401</v>
      </c>
      <c r="Q18" s="41">
        <v>18404.599609375</v>
      </c>
      <c r="R18" s="41">
        <v>1494.23571777343</v>
      </c>
      <c r="S18" s="41">
        <f t="shared" si="0"/>
        <v>-6.5395673926831573E-3</v>
      </c>
      <c r="T18" s="41">
        <f t="shared" si="0"/>
        <v>4.2205754818544303E-3</v>
      </c>
    </row>
    <row r="19" spans="1:20" ht="14.4">
      <c r="A19" s="3"/>
      <c r="B19" s="7" t="s">
        <v>57</v>
      </c>
      <c r="C19" s="10">
        <v>1372.51</v>
      </c>
      <c r="D19" s="3"/>
      <c r="E19" s="3"/>
      <c r="F19" s="23" t="s">
        <v>58</v>
      </c>
      <c r="G19" s="23">
        <v>238.47</v>
      </c>
      <c r="H19" s="3"/>
      <c r="I19" s="3"/>
      <c r="J19" s="51" t="s">
        <v>59</v>
      </c>
      <c r="K19" s="50">
        <f>G31 / G25</f>
        <v>0.12982181461035419</v>
      </c>
      <c r="L19" s="46" t="str">
        <f t="shared" ca="1" si="1"/>
        <v>=G31 / G25</v>
      </c>
      <c r="M19" s="46" t="s">
        <v>60</v>
      </c>
      <c r="N19" s="3"/>
      <c r="P19" s="53">
        <v>45404</v>
      </c>
      <c r="Q19" s="41">
        <v>18643</v>
      </c>
      <c r="R19" s="41">
        <v>1511.21118164062</v>
      </c>
      <c r="S19" s="41">
        <f t="shared" si="0"/>
        <v>1.2953304917514357E-2</v>
      </c>
      <c r="T19" s="41">
        <f t="shared" si="0"/>
        <v>1.1360633175390324E-2</v>
      </c>
    </row>
    <row r="20" spans="1:20" ht="14.4">
      <c r="A20" s="3"/>
      <c r="B20" s="7" t="s">
        <v>61</v>
      </c>
      <c r="C20" s="8" t="s">
        <v>19</v>
      </c>
      <c r="D20" s="3"/>
      <c r="E20" s="3"/>
      <c r="F20" s="23" t="s">
        <v>62</v>
      </c>
      <c r="G20" s="23">
        <v>238.47</v>
      </c>
      <c r="H20" s="3"/>
      <c r="I20" s="3"/>
      <c r="J20" s="51" t="s">
        <v>63</v>
      </c>
      <c r="K20" s="46">
        <f>K13 / (K13 + C12)</f>
        <v>4.2784327262689506E-2</v>
      </c>
      <c r="L20" s="46" t="str">
        <f t="shared" ca="1" si="1"/>
        <v>=K13 / (K13 + C12)</v>
      </c>
      <c r="M20" s="46" t="s">
        <v>64</v>
      </c>
      <c r="N20" s="3"/>
      <c r="P20" s="53">
        <v>45405</v>
      </c>
      <c r="Q20" s="41">
        <v>18463.75</v>
      </c>
      <c r="R20" s="41">
        <v>1456.80126953125</v>
      </c>
      <c r="S20" s="41">
        <f t="shared" si="0"/>
        <v>-9.6148688515796821E-3</v>
      </c>
      <c r="T20" s="41">
        <f t="shared" si="0"/>
        <v>-3.6004175174445721E-2</v>
      </c>
    </row>
    <row r="21" spans="1:20" ht="14.4">
      <c r="A21" s="3"/>
      <c r="B21" s="7" t="s">
        <v>65</v>
      </c>
      <c r="C21" s="10">
        <v>2844.36</v>
      </c>
      <c r="D21" s="3"/>
      <c r="E21" s="3"/>
      <c r="F21" s="23" t="s">
        <v>66</v>
      </c>
      <c r="G21" s="32">
        <v>14751.79</v>
      </c>
      <c r="H21" s="21"/>
      <c r="I21" s="21"/>
      <c r="J21" s="51" t="s">
        <v>67</v>
      </c>
      <c r="K21" s="46">
        <f>C12 / (K13 + C12)</f>
        <v>0.95721567273731045</v>
      </c>
      <c r="L21" s="46" t="str">
        <f t="shared" ca="1" si="1"/>
        <v>=C12 / (K13 + C12)</v>
      </c>
      <c r="M21" s="46" t="s">
        <v>68</v>
      </c>
      <c r="N21" s="3"/>
      <c r="P21" s="53">
        <v>45406</v>
      </c>
      <c r="Q21" s="41">
        <v>18586.19921875</v>
      </c>
      <c r="R21" s="41">
        <v>1457.88061523437</v>
      </c>
      <c r="S21" s="41">
        <f t="shared" si="0"/>
        <v>6.6318715726761896E-3</v>
      </c>
      <c r="T21" s="41">
        <f t="shared" si="0"/>
        <v>7.4090112748686381E-4</v>
      </c>
    </row>
    <row r="22" spans="1:20" ht="14.4">
      <c r="A22" s="3"/>
      <c r="B22" s="7" t="s">
        <v>69</v>
      </c>
      <c r="C22" s="10">
        <v>5653.3</v>
      </c>
      <c r="D22" s="3"/>
      <c r="E22" s="3"/>
      <c r="F22" s="23" t="s">
        <v>70</v>
      </c>
      <c r="G22" s="32">
        <v>38268.83</v>
      </c>
      <c r="H22" s="21"/>
      <c r="I22" s="21"/>
      <c r="J22" s="51" t="s">
        <v>71</v>
      </c>
      <c r="K22" s="49">
        <f>K21 * K18 + K20 * K17</f>
        <v>0.10864505746814636</v>
      </c>
      <c r="L22" s="46" t="str">
        <f ca="1">_xlfn.FORMULATEXT(K22)</f>
        <v>=K21 * K18 + K20 * K17</v>
      </c>
      <c r="M22" s="46" t="s">
        <v>72</v>
      </c>
      <c r="N22" s="3"/>
      <c r="P22" s="53">
        <v>45407</v>
      </c>
      <c r="Q22" s="41">
        <v>18878.150390625</v>
      </c>
      <c r="R22" s="41">
        <v>1491.63537597656</v>
      </c>
      <c r="S22" s="41">
        <f t="shared" si="0"/>
        <v>1.5707954511779677E-2</v>
      </c>
      <c r="T22" s="41">
        <f t="shared" si="0"/>
        <v>2.3153309255548035E-2</v>
      </c>
    </row>
    <row r="23" spans="1:20" ht="14.4">
      <c r="A23" s="3"/>
      <c r="B23" s="7" t="s">
        <v>73</v>
      </c>
      <c r="C23" s="10">
        <v>3129.18</v>
      </c>
      <c r="D23" s="3"/>
      <c r="E23" s="3"/>
      <c r="F23" s="23" t="s">
        <v>74</v>
      </c>
      <c r="G23" s="32">
        <v>11582.21</v>
      </c>
      <c r="H23" s="21"/>
      <c r="I23" s="21"/>
      <c r="J23" s="3" t="s">
        <v>16</v>
      </c>
      <c r="K23" s="24"/>
      <c r="L23" s="3"/>
      <c r="M23" s="3"/>
      <c r="N23" s="3"/>
      <c r="P23" s="53">
        <v>45408</v>
      </c>
      <c r="Q23" s="41">
        <v>18994.650390625</v>
      </c>
      <c r="R23" s="41">
        <v>1478.29064941406</v>
      </c>
      <c r="S23" s="41">
        <f t="shared" si="0"/>
        <v>6.1711554145608772E-3</v>
      </c>
      <c r="T23" s="41">
        <f t="shared" si="0"/>
        <v>-8.9463730730865304E-3</v>
      </c>
    </row>
    <row r="24" spans="1:20" ht="14.4">
      <c r="A24" s="3"/>
      <c r="B24" s="7" t="s">
        <v>75</v>
      </c>
      <c r="C24" s="10">
        <v>5357.56</v>
      </c>
      <c r="D24" s="3"/>
      <c r="E24" s="3"/>
      <c r="F24" s="23" t="s">
        <v>76</v>
      </c>
      <c r="G24" s="23">
        <v>-494.32</v>
      </c>
      <c r="H24" s="3"/>
      <c r="I24" s="3"/>
      <c r="J24" s="3" t="s">
        <v>16</v>
      </c>
      <c r="K24" s="3"/>
      <c r="L24" s="3"/>
      <c r="M24" s="3"/>
      <c r="N24" s="3"/>
      <c r="P24" s="53">
        <v>45411</v>
      </c>
      <c r="Q24" s="41">
        <v>19096.900390625</v>
      </c>
      <c r="R24" s="41">
        <v>1493.05822753906</v>
      </c>
      <c r="S24" s="41">
        <f t="shared" si="0"/>
        <v>5.3830946028080888E-3</v>
      </c>
      <c r="T24" s="41">
        <f t="shared" si="0"/>
        <v>9.9896310179959022E-3</v>
      </c>
    </row>
    <row r="25" spans="1:20" ht="14.4">
      <c r="A25" s="3"/>
      <c r="B25" s="7" t="s">
        <v>77</v>
      </c>
      <c r="C25" s="10">
        <v>16984.400000000001</v>
      </c>
      <c r="D25" s="3"/>
      <c r="E25" s="3"/>
      <c r="F25" s="23" t="s">
        <v>78</v>
      </c>
      <c r="G25" s="32">
        <v>11087.89</v>
      </c>
      <c r="H25" s="21"/>
      <c r="I25" s="21"/>
      <c r="J25" s="3" t="s">
        <v>79</v>
      </c>
      <c r="K25" s="21">
        <f>G9</f>
        <v>47758.45</v>
      </c>
      <c r="L25" s="11" t="str">
        <f t="shared" ref="L25:L26" ca="1" si="2">_xlfn.FORMULATEXT(K25)</f>
        <v>=G9</v>
      </c>
      <c r="M25" s="11" t="s">
        <v>80</v>
      </c>
      <c r="N25" s="3"/>
      <c r="P25" s="53">
        <v>45412</v>
      </c>
      <c r="Q25" s="41">
        <v>18970.599609375</v>
      </c>
      <c r="R25" s="41">
        <v>1473.92395019531</v>
      </c>
      <c r="S25" s="41">
        <f t="shared" si="0"/>
        <v>-6.6136796373511613E-3</v>
      </c>
      <c r="T25" s="41">
        <f t="shared" si="0"/>
        <v>-1.2815493053668884E-2</v>
      </c>
    </row>
    <row r="26" spans="1:20" ht="14.4">
      <c r="A26" s="3"/>
      <c r="B26" s="7" t="s">
        <v>81</v>
      </c>
      <c r="C26" s="10">
        <v>85462.88</v>
      </c>
      <c r="D26" s="3"/>
      <c r="E26" s="3"/>
      <c r="F26" s="23" t="s">
        <v>82</v>
      </c>
      <c r="G26" s="23" t="s">
        <v>19</v>
      </c>
      <c r="H26" s="3"/>
      <c r="I26" s="3"/>
      <c r="J26" s="3" t="s">
        <v>83</v>
      </c>
      <c r="K26" s="21">
        <f>G14+G15+G17</f>
        <v>10662.609999999999</v>
      </c>
      <c r="L26" s="11" t="str">
        <f t="shared" ca="1" si="2"/>
        <v>=G14+G15+G17</v>
      </c>
      <c r="M26" s="11" t="s">
        <v>84</v>
      </c>
      <c r="N26" s="3"/>
      <c r="P26" s="53">
        <v>45414</v>
      </c>
      <c r="Q26" s="41">
        <v>19124.44921875</v>
      </c>
      <c r="R26" s="41">
        <v>1490.50708007812</v>
      </c>
      <c r="S26" s="41">
        <f t="shared" si="0"/>
        <v>8.1098970271329604E-3</v>
      </c>
      <c r="T26" s="41">
        <f t="shared" si="0"/>
        <v>1.12510078153032E-2</v>
      </c>
    </row>
    <row r="27" spans="1:20" ht="14.4">
      <c r="A27" s="3"/>
      <c r="B27" s="7" t="s">
        <v>85</v>
      </c>
      <c r="C27" s="8" t="s">
        <v>19</v>
      </c>
      <c r="D27" s="3"/>
      <c r="E27" s="3"/>
      <c r="F27" s="23" t="s">
        <v>86</v>
      </c>
      <c r="G27" s="32">
        <v>1989.3</v>
      </c>
      <c r="H27" s="21"/>
      <c r="I27" s="21"/>
      <c r="J27" s="3" t="s">
        <v>87</v>
      </c>
      <c r="K27" s="21">
        <f>K25-K26</f>
        <v>37095.839999999997</v>
      </c>
      <c r="L27" s="11" t="str">
        <f ca="1">_xlfn.FORMULATEXT(K27)</f>
        <v>=K25-K26</v>
      </c>
      <c r="M27" s="11" t="s">
        <v>88</v>
      </c>
      <c r="N27" s="3"/>
      <c r="P27" s="53">
        <v>45415</v>
      </c>
      <c r="Q27" s="41">
        <v>19133.400390625</v>
      </c>
      <c r="R27" s="41">
        <v>1482.80419921875</v>
      </c>
      <c r="S27" s="41">
        <f t="shared" si="0"/>
        <v>4.6804861006005281E-4</v>
      </c>
      <c r="T27" s="41">
        <f t="shared" si="0"/>
        <v>-5.1679599260717884E-3</v>
      </c>
    </row>
    <row r="28" spans="1:20" ht="14.4">
      <c r="A28" s="3"/>
      <c r="B28" s="7" t="s">
        <v>89</v>
      </c>
      <c r="C28" s="8" t="s">
        <v>19</v>
      </c>
      <c r="D28" s="3"/>
      <c r="E28" s="3"/>
      <c r="F28" s="23" t="s">
        <v>90</v>
      </c>
      <c r="G28" s="23">
        <v>0</v>
      </c>
      <c r="H28" s="3"/>
      <c r="I28" s="3"/>
      <c r="J28" s="3" t="s">
        <v>91</v>
      </c>
      <c r="K28" s="21">
        <f>G25+G19</f>
        <v>11326.359999999999</v>
      </c>
      <c r="L28" s="11" t="str">
        <f ca="1">_xlfn.FORMULATEXT(K28)</f>
        <v>=G25+G19</v>
      </c>
      <c r="M28" s="11" t="s">
        <v>92</v>
      </c>
      <c r="N28" s="3"/>
      <c r="P28" s="53">
        <v>45418</v>
      </c>
      <c r="Q28" s="41">
        <v>19203.30078125</v>
      </c>
      <c r="R28" s="41">
        <v>1500.46655273437</v>
      </c>
      <c r="S28" s="41">
        <f t="shared" si="0"/>
        <v>3.6533177165544422E-3</v>
      </c>
      <c r="T28" s="41">
        <f t="shared" si="0"/>
        <v>1.191145366659052E-2</v>
      </c>
    </row>
    <row r="29" spans="1:20" ht="14.4">
      <c r="A29" s="3"/>
      <c r="B29" s="7" t="s">
        <v>93</v>
      </c>
      <c r="C29" s="10">
        <v>10192.32</v>
      </c>
      <c r="D29" s="3"/>
      <c r="E29" s="3"/>
      <c r="F29" s="23" t="s">
        <v>94</v>
      </c>
      <c r="G29" s="23">
        <v>-549.85</v>
      </c>
      <c r="H29" s="3"/>
      <c r="I29" s="3"/>
      <c r="J29" s="3" t="s">
        <v>95</v>
      </c>
      <c r="K29" s="21">
        <f>G25</f>
        <v>11087.89</v>
      </c>
      <c r="L29" s="11" t="str">
        <f ca="1">_xlfn.FORMULATEXT(K29)</f>
        <v>=G25</v>
      </c>
      <c r="M29" s="11" t="s">
        <v>96</v>
      </c>
      <c r="N29" s="3"/>
      <c r="P29" s="53">
        <v>45419</v>
      </c>
      <c r="Q29" s="41">
        <v>18846.30078125</v>
      </c>
      <c r="R29" s="41">
        <v>1486.92529296875</v>
      </c>
      <c r="S29" s="41">
        <f t="shared" si="0"/>
        <v>-1.8590553992081031E-2</v>
      </c>
      <c r="T29" s="41">
        <f t="shared" si="0"/>
        <v>-9.0246995115906645E-3</v>
      </c>
    </row>
    <row r="30" spans="1:20" ht="14.4">
      <c r="A30" s="3"/>
      <c r="B30" s="7" t="s">
        <v>97</v>
      </c>
      <c r="C30" s="10">
        <v>4420.1099999999997</v>
      </c>
      <c r="D30" s="3"/>
      <c r="E30" s="3"/>
      <c r="F30" s="23" t="s">
        <v>98</v>
      </c>
      <c r="G30" s="23">
        <v>0</v>
      </c>
      <c r="H30" s="3"/>
      <c r="I30" s="3"/>
      <c r="J30" s="3" t="s">
        <v>16</v>
      </c>
      <c r="K30" s="3"/>
      <c r="L30" s="3"/>
      <c r="M30" s="3"/>
      <c r="N30" s="3"/>
      <c r="P30" s="53">
        <v>45420</v>
      </c>
      <c r="Q30" s="41">
        <v>18850.849609375</v>
      </c>
      <c r="R30" s="41">
        <v>1493.20544433593</v>
      </c>
      <c r="S30" s="41">
        <f t="shared" si="0"/>
        <v>2.4136450849418601E-4</v>
      </c>
      <c r="T30" s="41">
        <f t="shared" si="0"/>
        <v>4.2235823123576276E-3</v>
      </c>
    </row>
    <row r="31" spans="1:20" ht="14.4">
      <c r="A31" s="3"/>
      <c r="B31" s="7" t="s">
        <v>99</v>
      </c>
      <c r="C31" s="10">
        <v>1107.73</v>
      </c>
      <c r="D31" s="3"/>
      <c r="E31" s="3"/>
      <c r="F31" s="23" t="s">
        <v>100</v>
      </c>
      <c r="G31" s="32">
        <v>1439.45</v>
      </c>
      <c r="H31" s="21"/>
      <c r="I31" s="21"/>
      <c r="J31" s="3" t="s">
        <v>11</v>
      </c>
      <c r="K31" s="3">
        <f>'SUNPHARMA Beta Calc'!H7</f>
        <v>0.97645671610178331</v>
      </c>
      <c r="L31" s="3"/>
      <c r="M31" s="3"/>
      <c r="N31" s="3"/>
      <c r="P31" s="53">
        <v>45421</v>
      </c>
      <c r="Q31" s="41">
        <v>18437.05078125</v>
      </c>
      <c r="R31" s="41">
        <v>1466.61376953125</v>
      </c>
      <c r="S31" s="41">
        <f t="shared" si="0"/>
        <v>-2.1951203086316463E-2</v>
      </c>
      <c r="T31" s="41">
        <f t="shared" si="0"/>
        <v>-1.7808450207269406E-2</v>
      </c>
    </row>
    <row r="32" spans="1:20" ht="14.4">
      <c r="A32" s="3"/>
      <c r="B32" s="7" t="s">
        <v>101</v>
      </c>
      <c r="C32" s="10">
        <v>19966.310000000001</v>
      </c>
      <c r="D32" s="3"/>
      <c r="E32" s="3"/>
      <c r="F32" s="23" t="s">
        <v>102</v>
      </c>
      <c r="G32" s="32">
        <v>9648.44</v>
      </c>
      <c r="H32" s="21"/>
      <c r="I32" s="21"/>
      <c r="J32" s="3" t="s">
        <v>103</v>
      </c>
      <c r="K32" s="3">
        <f>'SUNPHARMA Beta Calc'!H10*252</f>
        <v>0.11078640540451196</v>
      </c>
      <c r="L32" s="3"/>
      <c r="M32" s="3"/>
      <c r="N32" s="3"/>
      <c r="P32" s="53">
        <v>45422</v>
      </c>
      <c r="Q32" s="41">
        <v>18609.44921875</v>
      </c>
      <c r="R32" s="41">
        <v>1478.29064941406</v>
      </c>
      <c r="S32" s="41">
        <f t="shared" si="0"/>
        <v>9.3506515518916242E-3</v>
      </c>
      <c r="T32" s="41">
        <f t="shared" si="0"/>
        <v>7.9617961629680403E-3</v>
      </c>
    </row>
    <row r="33" spans="1:20" ht="14.4">
      <c r="A33" s="3"/>
      <c r="B33" s="7" t="s">
        <v>104</v>
      </c>
      <c r="C33" s="10">
        <v>6441.23</v>
      </c>
      <c r="D33" s="3"/>
      <c r="E33" s="3"/>
      <c r="F33" s="23" t="s">
        <v>105</v>
      </c>
      <c r="G33" s="32">
        <v>9648.44</v>
      </c>
      <c r="H33" s="21"/>
      <c r="I33" s="21"/>
      <c r="J33" s="3" t="s">
        <v>106</v>
      </c>
      <c r="K33" s="3">
        <f>6.7/100</f>
        <v>6.7000000000000004E-2</v>
      </c>
      <c r="L33" s="11" t="s">
        <v>107</v>
      </c>
      <c r="M33" s="11" t="s">
        <v>108</v>
      </c>
      <c r="N33" s="3"/>
      <c r="P33" s="53">
        <v>45425</v>
      </c>
      <c r="Q33" s="41">
        <v>18939</v>
      </c>
      <c r="R33" s="41">
        <v>1496.44360351562</v>
      </c>
      <c r="S33" s="41">
        <f t="shared" si="0"/>
        <v>1.7708787475448774E-2</v>
      </c>
      <c r="T33" s="41">
        <f t="shared" si="0"/>
        <v>1.2279692162535941E-2</v>
      </c>
    </row>
    <row r="34" spans="1:20" ht="14.4">
      <c r="A34" s="3"/>
      <c r="B34" s="7" t="s">
        <v>109</v>
      </c>
      <c r="C34" s="10">
        <v>4103.6499999999996</v>
      </c>
      <c r="D34" s="3"/>
      <c r="E34" s="3"/>
      <c r="F34" s="23" t="s">
        <v>110</v>
      </c>
      <c r="G34" s="32">
        <v>9648.44</v>
      </c>
      <c r="H34" s="21"/>
      <c r="I34" s="21"/>
      <c r="J34" s="3" t="s">
        <v>16</v>
      </c>
      <c r="K34" s="3"/>
      <c r="L34" s="3"/>
      <c r="M34" s="3"/>
      <c r="N34" s="3"/>
      <c r="P34" s="53">
        <v>45426</v>
      </c>
      <c r="Q34" s="41">
        <v>18860.849609375</v>
      </c>
      <c r="R34" s="41">
        <v>1516.26452636718</v>
      </c>
      <c r="S34" s="41">
        <f t="shared" si="0"/>
        <v>-4.1264264546702571E-3</v>
      </c>
      <c r="T34" s="41">
        <f t="shared" si="0"/>
        <v>1.3245352384142225E-2</v>
      </c>
    </row>
    <row r="35" spans="1:20" ht="14.4">
      <c r="A35" s="3"/>
      <c r="B35" s="7" t="s">
        <v>111</v>
      </c>
      <c r="C35" s="8">
        <v>0.85</v>
      </c>
      <c r="D35" s="3"/>
      <c r="E35" s="3"/>
      <c r="F35" s="23" t="s">
        <v>33</v>
      </c>
      <c r="G35" s="23">
        <v>-33.65</v>
      </c>
      <c r="H35" s="3"/>
      <c r="I35" s="3"/>
      <c r="J35" s="3" t="s">
        <v>16</v>
      </c>
      <c r="K35" s="3"/>
      <c r="L35" s="3"/>
      <c r="M35" s="3"/>
      <c r="N35" s="3"/>
      <c r="P35" s="53">
        <v>45427</v>
      </c>
      <c r="Q35" s="41">
        <v>18886.55078125</v>
      </c>
      <c r="R35" s="41">
        <v>1498.74926757812</v>
      </c>
      <c r="S35" s="41">
        <f t="shared" si="0"/>
        <v>1.3626730718548829E-3</v>
      </c>
      <c r="T35" s="41">
        <f t="shared" si="0"/>
        <v>-1.1551585151850006E-2</v>
      </c>
    </row>
    <row r="36" spans="1:20" ht="14.4">
      <c r="A36" s="3"/>
      <c r="B36" s="7" t="s">
        <v>112</v>
      </c>
      <c r="C36" s="10">
        <v>2876.91</v>
      </c>
      <c r="D36" s="3"/>
      <c r="E36" s="3"/>
      <c r="F36" s="23" t="s">
        <v>113</v>
      </c>
      <c r="G36" s="32">
        <v>9576.3799999999992</v>
      </c>
      <c r="H36" s="21"/>
      <c r="I36" s="21"/>
      <c r="J36" s="3" t="s">
        <v>16</v>
      </c>
      <c r="K36" s="3"/>
      <c r="L36" s="3"/>
      <c r="M36" s="3"/>
      <c r="N36" s="3"/>
      <c r="P36" s="53">
        <v>45428</v>
      </c>
      <c r="Q36" s="41">
        <v>18996.150390625</v>
      </c>
      <c r="R36" s="41">
        <v>1507.48254394531</v>
      </c>
      <c r="S36" s="41">
        <f t="shared" si="0"/>
        <v>5.8030505752171115E-3</v>
      </c>
      <c r="T36" s="41">
        <f t="shared" si="0"/>
        <v>5.8270429591618083E-3</v>
      </c>
    </row>
    <row r="37" spans="1:20" ht="14.4">
      <c r="A37" s="3"/>
      <c r="B37" s="7" t="s">
        <v>114</v>
      </c>
      <c r="C37" s="10">
        <v>41987.9</v>
      </c>
      <c r="D37" s="3"/>
      <c r="E37" s="3"/>
      <c r="F37" s="23" t="s">
        <v>115</v>
      </c>
      <c r="G37" s="23" t="s">
        <v>19</v>
      </c>
      <c r="H37" s="3"/>
      <c r="I37" s="3"/>
      <c r="J37" s="3" t="s">
        <v>16</v>
      </c>
      <c r="K37" s="3"/>
      <c r="L37" s="3"/>
      <c r="M37" s="3"/>
      <c r="N37" s="3"/>
      <c r="P37" s="53">
        <v>45429</v>
      </c>
      <c r="Q37" s="41">
        <v>18981.599609375</v>
      </c>
      <c r="R37" s="41">
        <v>1502.67456054687</v>
      </c>
      <c r="S37" s="41">
        <f t="shared" si="0"/>
        <v>-7.6598578926713055E-4</v>
      </c>
      <c r="T37" s="41">
        <f t="shared" si="0"/>
        <v>-3.1894123203952867E-3</v>
      </c>
    </row>
    <row r="38" spans="1:20" ht="14.4">
      <c r="A38" s="3"/>
      <c r="B38" s="7" t="s">
        <v>116</v>
      </c>
      <c r="C38" s="8" t="s">
        <v>19</v>
      </c>
      <c r="D38" s="3"/>
      <c r="E38" s="3"/>
      <c r="F38" s="23" t="s">
        <v>117</v>
      </c>
      <c r="G38" s="23" t="s">
        <v>19</v>
      </c>
      <c r="H38" s="3"/>
      <c r="I38" s="3"/>
      <c r="J38" s="3" t="s">
        <v>16</v>
      </c>
      <c r="K38" s="3"/>
      <c r="L38" s="3"/>
      <c r="M38" s="3"/>
      <c r="N38" s="3"/>
      <c r="P38" s="53">
        <v>45433</v>
      </c>
      <c r="Q38" s="41">
        <v>19205.19921875</v>
      </c>
      <c r="R38" s="41">
        <v>1512.04528808593</v>
      </c>
      <c r="S38" s="41">
        <f t="shared" si="0"/>
        <v>1.17798085502006E-2</v>
      </c>
      <c r="T38" s="41">
        <f t="shared" si="0"/>
        <v>6.2360325948751672E-3</v>
      </c>
    </row>
    <row r="39" spans="1:20" ht="14.4">
      <c r="A39" s="3"/>
      <c r="B39" s="7" t="s">
        <v>118</v>
      </c>
      <c r="C39" s="10">
        <v>8584.5400000000009</v>
      </c>
      <c r="D39" s="3"/>
      <c r="E39" s="3"/>
      <c r="F39" s="23" t="s">
        <v>119</v>
      </c>
      <c r="G39" s="23">
        <v>40</v>
      </c>
      <c r="H39" s="3"/>
      <c r="I39" s="3"/>
      <c r="J39" s="3" t="s">
        <v>16</v>
      </c>
      <c r="K39" s="3"/>
      <c r="L39" s="3"/>
      <c r="M39" s="3"/>
      <c r="N39" s="3"/>
      <c r="P39" s="53">
        <v>45434</v>
      </c>
      <c r="Q39" s="41">
        <v>19317.400390625</v>
      </c>
      <c r="R39" s="41">
        <v>1510.42614746093</v>
      </c>
      <c r="S39" s="41">
        <f t="shared" si="0"/>
        <v>5.842229002522307E-3</v>
      </c>
      <c r="T39" s="41">
        <f t="shared" si="0"/>
        <v>-1.0708281278067008E-3</v>
      </c>
    </row>
    <row r="40" spans="1:20" ht="14.4">
      <c r="A40" s="3"/>
      <c r="B40" s="7" t="s">
        <v>120</v>
      </c>
      <c r="C40" s="10">
        <v>9868.2900000000009</v>
      </c>
      <c r="D40" s="3"/>
      <c r="E40" s="3"/>
      <c r="F40" s="23" t="s">
        <v>121</v>
      </c>
      <c r="G40" s="23">
        <v>40</v>
      </c>
      <c r="H40" s="3"/>
      <c r="I40" s="3"/>
      <c r="J40" s="3" t="s">
        <v>16</v>
      </c>
      <c r="K40" s="3"/>
      <c r="L40" s="3"/>
      <c r="M40" s="3"/>
      <c r="N40" s="3"/>
      <c r="P40" s="53">
        <v>45435</v>
      </c>
      <c r="Q40" s="41">
        <v>19216.349609375</v>
      </c>
      <c r="R40" s="41">
        <v>1467.05517578125</v>
      </c>
      <c r="S40" s="41">
        <f t="shared" si="0"/>
        <v>-5.2310755695182121E-3</v>
      </c>
      <c r="T40" s="41">
        <f t="shared" si="0"/>
        <v>-2.8714394114924355E-2</v>
      </c>
    </row>
    <row r="41" spans="1:20" ht="14.4">
      <c r="A41" s="3"/>
      <c r="B41" s="7" t="s">
        <v>122</v>
      </c>
      <c r="C41" s="10">
        <v>11249.37</v>
      </c>
      <c r="D41" s="3"/>
      <c r="E41" s="3"/>
      <c r="F41" s="23" t="s">
        <v>123</v>
      </c>
      <c r="G41" s="23" t="s">
        <v>19</v>
      </c>
      <c r="H41" s="3"/>
      <c r="I41" s="3"/>
      <c r="J41" s="3" t="s">
        <v>16</v>
      </c>
      <c r="K41" s="3"/>
      <c r="L41" s="3"/>
      <c r="M41" s="3"/>
      <c r="N41" s="3"/>
      <c r="P41" s="53">
        <v>45436</v>
      </c>
      <c r="Q41" s="41">
        <v>19119.5</v>
      </c>
      <c r="R41" s="41">
        <v>1458.81286621093</v>
      </c>
      <c r="S41" s="41">
        <f t="shared" si="0"/>
        <v>-5.0399587509456214E-3</v>
      </c>
      <c r="T41" s="41">
        <f t="shared" si="0"/>
        <v>-5.6182682876468716E-3</v>
      </c>
    </row>
    <row r="42" spans="1:20" ht="14.4">
      <c r="A42" s="3"/>
      <c r="B42" s="7" t="s">
        <v>124</v>
      </c>
      <c r="C42" s="10">
        <v>10520.68</v>
      </c>
      <c r="D42" s="3"/>
      <c r="E42" s="3"/>
      <c r="F42" s="23" t="s">
        <v>125</v>
      </c>
      <c r="G42" s="32">
        <v>2898.16</v>
      </c>
      <c r="H42" s="21"/>
      <c r="I42" s="21"/>
      <c r="J42" s="3" t="s">
        <v>16</v>
      </c>
      <c r="K42" s="3"/>
      <c r="L42" s="3"/>
      <c r="M42" s="3"/>
      <c r="N42" s="3"/>
      <c r="P42" s="53">
        <v>45439</v>
      </c>
      <c r="Q42" s="41">
        <v>19111.94921875</v>
      </c>
      <c r="R42" s="41">
        <v>1438.55029296875</v>
      </c>
      <c r="S42" s="41">
        <f t="shared" si="0"/>
        <v>-3.9492566489709459E-4</v>
      </c>
      <c r="T42" s="41">
        <f t="shared" si="0"/>
        <v>-1.3889768668416878E-2</v>
      </c>
    </row>
    <row r="43" spans="1:20" ht="14.4">
      <c r="A43" s="3"/>
      <c r="B43" s="7" t="s">
        <v>126</v>
      </c>
      <c r="C43" s="8">
        <v>65.02</v>
      </c>
      <c r="D43" s="3"/>
      <c r="E43" s="3"/>
      <c r="F43" s="23" t="s">
        <v>127</v>
      </c>
      <c r="G43" s="23">
        <v>0</v>
      </c>
      <c r="H43" s="3"/>
      <c r="I43" s="3"/>
      <c r="J43" s="3" t="s">
        <v>16</v>
      </c>
      <c r="K43" s="3"/>
      <c r="L43" s="3"/>
      <c r="M43" s="3"/>
      <c r="N43" s="3"/>
      <c r="P43" s="53">
        <v>45440</v>
      </c>
      <c r="Q43" s="41">
        <v>19215.75</v>
      </c>
      <c r="R43" s="41">
        <v>1437.42175292968</v>
      </c>
      <c r="S43" s="41">
        <f t="shared" si="0"/>
        <v>5.4311980458887485E-3</v>
      </c>
      <c r="T43" s="41">
        <f t="shared" si="0"/>
        <v>-7.8449814690943092E-4</v>
      </c>
    </row>
    <row r="44" spans="1:20" ht="14.4">
      <c r="A44" s="3"/>
      <c r="B44" s="7" t="s">
        <v>128</v>
      </c>
      <c r="C44" s="10">
        <v>3187.08</v>
      </c>
      <c r="D44" s="3"/>
      <c r="E44" s="3"/>
      <c r="F44" s="3"/>
      <c r="G44" s="3"/>
      <c r="H44" s="3"/>
      <c r="I44" s="3"/>
      <c r="J44" s="3" t="s">
        <v>16</v>
      </c>
      <c r="K44" s="3"/>
      <c r="L44" s="3"/>
      <c r="M44" s="3"/>
      <c r="N44" s="3"/>
      <c r="P44" s="53">
        <v>45441</v>
      </c>
      <c r="Q44" s="41">
        <v>19321.349609375</v>
      </c>
      <c r="R44" s="41">
        <v>1451.20812988281</v>
      </c>
      <c r="S44" s="41">
        <f t="shared" si="0"/>
        <v>5.4954716508593213E-3</v>
      </c>
      <c r="T44" s="41">
        <f t="shared" si="0"/>
        <v>9.5910451647411819E-3</v>
      </c>
    </row>
    <row r="45" spans="1:20" ht="14.4">
      <c r="A45" s="3"/>
      <c r="B45" s="7" t="s">
        <v>129</v>
      </c>
      <c r="C45" s="10">
        <v>43474.98</v>
      </c>
      <c r="D45" s="3"/>
      <c r="E45" s="3"/>
      <c r="F45" s="3"/>
      <c r="G45" s="3"/>
      <c r="H45" s="3"/>
      <c r="I45" s="3"/>
      <c r="J45" s="3" t="s">
        <v>16</v>
      </c>
      <c r="K45" s="3"/>
      <c r="L45" s="3"/>
      <c r="M45" s="3"/>
      <c r="N45" s="3"/>
      <c r="P45" s="53">
        <v>45442</v>
      </c>
      <c r="Q45" s="41">
        <v>18971</v>
      </c>
      <c r="R45" s="41">
        <v>1431.73059082031</v>
      </c>
      <c r="S45" s="41">
        <f t="shared" si="0"/>
        <v>-1.8132771077492706E-2</v>
      </c>
      <c r="T45" s="41">
        <f t="shared" si="0"/>
        <v>-1.3421602774560585E-2</v>
      </c>
    </row>
    <row r="46" spans="1:20" ht="14.4">
      <c r="A46" s="3"/>
      <c r="B46" s="7" t="s">
        <v>130</v>
      </c>
      <c r="C46" s="10">
        <v>85462.88</v>
      </c>
      <c r="D46" s="3"/>
      <c r="E46" s="3"/>
      <c r="F46" s="3"/>
      <c r="G46" s="3"/>
      <c r="H46" s="3"/>
      <c r="I46" s="3"/>
      <c r="J46" s="3" t="s">
        <v>16</v>
      </c>
      <c r="K46" s="3"/>
      <c r="L46" s="3"/>
      <c r="M46" s="3"/>
      <c r="N46" s="3"/>
      <c r="P46" s="53">
        <v>45443</v>
      </c>
      <c r="Q46" s="41">
        <v>18796.30078125</v>
      </c>
      <c r="R46" s="41">
        <v>1432.41748046875</v>
      </c>
      <c r="S46" s="41">
        <f t="shared" si="0"/>
        <v>-9.2087511860207694E-3</v>
      </c>
      <c r="T46" s="41">
        <f t="shared" si="0"/>
        <v>4.7976180214634353E-4</v>
      </c>
    </row>
    <row r="47" spans="1:20" ht="14.4">
      <c r="A47" s="3"/>
      <c r="B47" s="7" t="s">
        <v>115</v>
      </c>
      <c r="C47" s="8" t="s">
        <v>19</v>
      </c>
      <c r="D47" s="3"/>
      <c r="E47" s="3"/>
      <c r="F47" s="3"/>
      <c r="G47" s="3"/>
      <c r="H47" s="3"/>
      <c r="I47" s="3"/>
      <c r="J47" s="3" t="s">
        <v>16</v>
      </c>
      <c r="K47" s="3"/>
      <c r="L47" s="3"/>
      <c r="M47" s="3"/>
      <c r="N47" s="3"/>
      <c r="P47" s="53">
        <v>45446</v>
      </c>
      <c r="Q47" s="41">
        <v>18864.150390625</v>
      </c>
      <c r="R47" s="41">
        <v>1425.79406738281</v>
      </c>
      <c r="S47" s="41">
        <f t="shared" si="0"/>
        <v>3.6097320512492796E-3</v>
      </c>
      <c r="T47" s="41">
        <f t="shared" si="0"/>
        <v>-4.6239404197807813E-3</v>
      </c>
    </row>
    <row r="48" spans="1:20" ht="14.4">
      <c r="A48" s="3"/>
      <c r="B48" s="7" t="s">
        <v>131</v>
      </c>
      <c r="C48" s="8" t="s">
        <v>19</v>
      </c>
      <c r="D48" s="3"/>
      <c r="E48" s="3"/>
      <c r="F48" s="3"/>
      <c r="G48" s="3"/>
      <c r="H48" s="3"/>
      <c r="I48" s="3"/>
      <c r="J48" s="3" t="s">
        <v>16</v>
      </c>
      <c r="K48" s="3"/>
      <c r="L48" s="3"/>
      <c r="M48" s="3"/>
      <c r="N48" s="3"/>
      <c r="P48" s="53">
        <v>45447</v>
      </c>
      <c r="Q48" s="41">
        <v>18603.150390625</v>
      </c>
      <c r="R48" s="41">
        <v>1403.029296875</v>
      </c>
      <c r="S48" s="41">
        <f t="shared" si="0"/>
        <v>-1.3835767558856524E-2</v>
      </c>
      <c r="T48" s="41">
        <f t="shared" si="0"/>
        <v>-1.5966380439215215E-2</v>
      </c>
    </row>
    <row r="49" spans="1:20" ht="14.4">
      <c r="A49" s="3"/>
      <c r="B49" s="7" t="s">
        <v>132</v>
      </c>
      <c r="C49" s="10">
        <v>6343.6</v>
      </c>
      <c r="D49" s="3"/>
      <c r="E49" s="3"/>
      <c r="F49" s="3"/>
      <c r="G49" s="3"/>
      <c r="H49" s="3"/>
      <c r="I49" s="3"/>
      <c r="J49" s="3" t="s">
        <v>16</v>
      </c>
      <c r="K49" s="3"/>
      <c r="L49" s="3"/>
      <c r="M49" s="3"/>
      <c r="N49" s="3"/>
      <c r="P49" s="53">
        <v>45448</v>
      </c>
      <c r="Q49" s="41">
        <v>19281.25</v>
      </c>
      <c r="R49" s="41">
        <v>1459.40148925781</v>
      </c>
      <c r="S49" s="41">
        <f t="shared" si="0"/>
        <v>3.6450794362052043E-2</v>
      </c>
      <c r="T49" s="41">
        <f t="shared" si="0"/>
        <v>4.0178913233222646E-2</v>
      </c>
    </row>
    <row r="50" spans="1:20" ht="14.4">
      <c r="A50" s="3"/>
      <c r="B50" s="7" t="s">
        <v>133</v>
      </c>
      <c r="C50" s="8" t="s">
        <v>19</v>
      </c>
      <c r="D50" s="3"/>
      <c r="E50" s="3"/>
      <c r="F50" s="3"/>
      <c r="G50" s="3"/>
      <c r="H50" s="3"/>
      <c r="I50" s="3"/>
      <c r="J50" s="3" t="s">
        <v>16</v>
      </c>
      <c r="K50" s="3"/>
      <c r="L50" s="3"/>
      <c r="M50" s="3"/>
      <c r="N50" s="3"/>
      <c r="P50" s="53">
        <v>45449</v>
      </c>
      <c r="Q50" s="41">
        <v>19232.099609375</v>
      </c>
      <c r="R50" s="41">
        <v>1445.07543945312</v>
      </c>
      <c r="S50" s="41">
        <f t="shared" si="0"/>
        <v>-2.5491288492706645E-3</v>
      </c>
      <c r="T50" s="41">
        <f t="shared" si="0"/>
        <v>-9.816386998464436E-3</v>
      </c>
    </row>
    <row r="51" spans="1:20" ht="14.4">
      <c r="A51" s="3"/>
      <c r="B51" s="7" t="s">
        <v>134</v>
      </c>
      <c r="C51" s="8">
        <v>183.81</v>
      </c>
      <c r="D51" s="3"/>
      <c r="E51" s="3"/>
      <c r="F51" s="3"/>
      <c r="G51" s="3"/>
      <c r="H51" s="3"/>
      <c r="I51" s="3"/>
      <c r="J51" s="3" t="s">
        <v>16</v>
      </c>
      <c r="K51" s="3"/>
      <c r="L51" s="3"/>
      <c r="M51" s="3"/>
      <c r="N51" s="3"/>
      <c r="P51" s="53">
        <v>45450</v>
      </c>
      <c r="Q51" s="41">
        <v>19578</v>
      </c>
      <c r="R51" s="41">
        <v>1478.58483886718</v>
      </c>
      <c r="S51" s="41">
        <f t="shared" si="0"/>
        <v>1.7985576075967558E-2</v>
      </c>
      <c r="T51" s="41">
        <f t="shared" si="0"/>
        <v>2.3188685171164094E-2</v>
      </c>
    </row>
    <row r="52" spans="1:20" ht="14.4">
      <c r="A52" s="3"/>
      <c r="B52" s="7" t="s">
        <v>135</v>
      </c>
      <c r="C52" s="8" t="s">
        <v>19</v>
      </c>
      <c r="D52" s="3"/>
      <c r="E52" s="3"/>
      <c r="F52" s="3"/>
      <c r="G52" s="3"/>
      <c r="H52" s="3"/>
      <c r="I52" s="3"/>
      <c r="J52" s="3" t="s">
        <v>16</v>
      </c>
      <c r="K52" s="3"/>
      <c r="L52" s="3"/>
      <c r="M52" s="3"/>
      <c r="N52" s="3"/>
      <c r="P52" s="53">
        <v>45453</v>
      </c>
      <c r="Q52" s="41">
        <v>19774.69921875</v>
      </c>
      <c r="R52" s="41">
        <v>1484.71765136718</v>
      </c>
      <c r="S52" s="41">
        <f t="shared" si="0"/>
        <v>1.0046951616610482E-2</v>
      </c>
      <c r="T52" s="41">
        <f t="shared" si="0"/>
        <v>4.1477582745259745E-3</v>
      </c>
    </row>
    <row r="53" spans="1:20" ht="14.4">
      <c r="A53" s="3"/>
      <c r="B53" s="7" t="s">
        <v>136</v>
      </c>
      <c r="C53" s="8">
        <v>0</v>
      </c>
      <c r="D53" s="3"/>
      <c r="E53" s="3"/>
      <c r="F53" s="3"/>
      <c r="G53" s="3"/>
      <c r="H53" s="3"/>
      <c r="I53" s="3"/>
      <c r="J53" s="3" t="s">
        <v>16</v>
      </c>
      <c r="K53" s="3"/>
      <c r="L53" s="3"/>
      <c r="M53" s="3"/>
      <c r="N53" s="3"/>
      <c r="P53" s="53">
        <v>45454</v>
      </c>
      <c r="Q53" s="41">
        <v>19689.69921875</v>
      </c>
      <c r="R53" s="41">
        <v>1471.61804199218</v>
      </c>
      <c r="S53" s="41">
        <f t="shared" si="0"/>
        <v>-4.2984218905036285E-3</v>
      </c>
      <c r="T53" s="41">
        <f t="shared" si="0"/>
        <v>-8.8229633175960567E-3</v>
      </c>
    </row>
    <row r="54" spans="1:20" ht="14.4">
      <c r="A54" s="3"/>
      <c r="B54" s="7" t="s">
        <v>137</v>
      </c>
      <c r="C54" s="8">
        <v>0</v>
      </c>
      <c r="D54" s="3"/>
      <c r="E54" s="3"/>
      <c r="F54" s="3"/>
      <c r="G54" s="3"/>
      <c r="H54" s="3"/>
      <c r="I54" s="3"/>
      <c r="J54" s="3" t="s">
        <v>16</v>
      </c>
      <c r="K54" s="3"/>
      <c r="L54" s="3"/>
      <c r="M54" s="3"/>
      <c r="N54" s="3"/>
      <c r="P54" s="53">
        <v>45455</v>
      </c>
      <c r="Q54" s="41">
        <v>19739.099609375</v>
      </c>
      <c r="R54" s="41">
        <v>1478.58483886718</v>
      </c>
      <c r="S54" s="41">
        <f t="shared" si="0"/>
        <v>2.5089459252865204E-3</v>
      </c>
      <c r="T54" s="41">
        <f t="shared" si="0"/>
        <v>4.7341067289232248E-3</v>
      </c>
    </row>
    <row r="55" spans="1:20" ht="14.4">
      <c r="A55" s="3"/>
      <c r="B55" s="7" t="s">
        <v>138</v>
      </c>
      <c r="C55" s="8" t="s">
        <v>19</v>
      </c>
      <c r="D55" s="3"/>
      <c r="E55" s="3"/>
      <c r="F55" s="3"/>
      <c r="G55" s="3"/>
      <c r="H55" s="3"/>
      <c r="I55" s="3"/>
      <c r="J55" s="3" t="s">
        <v>16</v>
      </c>
      <c r="K55" s="3"/>
      <c r="L55" s="3"/>
      <c r="M55" s="3"/>
      <c r="N55" s="3"/>
      <c r="P55" s="53">
        <v>45456</v>
      </c>
      <c r="Q55" s="41">
        <v>19838.5</v>
      </c>
      <c r="R55" s="41">
        <v>1482.4609375</v>
      </c>
      <c r="S55" s="41">
        <f t="shared" si="0"/>
        <v>5.0357104727203573E-3</v>
      </c>
      <c r="T55" s="41">
        <f t="shared" si="0"/>
        <v>2.6214922072308562E-3</v>
      </c>
    </row>
    <row r="56" spans="1:20" ht="14.4">
      <c r="A56" s="3"/>
      <c r="B56" s="7" t="s">
        <v>139</v>
      </c>
      <c r="C56" s="8">
        <v>0</v>
      </c>
      <c r="D56" s="3"/>
      <c r="E56" s="3"/>
      <c r="F56" s="3"/>
      <c r="G56" s="3"/>
      <c r="H56" s="3"/>
      <c r="I56" s="3"/>
      <c r="J56" s="3"/>
      <c r="K56" s="3"/>
      <c r="L56" s="3"/>
      <c r="M56" s="3"/>
      <c r="N56" s="3"/>
      <c r="P56" s="53">
        <v>45457</v>
      </c>
      <c r="Q56" s="41">
        <v>19895.650390625</v>
      </c>
      <c r="R56" s="41">
        <v>1487.56335449218</v>
      </c>
      <c r="S56" s="41">
        <f t="shared" si="0"/>
        <v>2.8807818446455126E-3</v>
      </c>
      <c r="T56" s="41">
        <f t="shared" si="0"/>
        <v>3.441855945819818E-3</v>
      </c>
    </row>
    <row r="57" spans="1:20" ht="14.4">
      <c r="A57" s="3"/>
      <c r="B57" s="7" t="s">
        <v>140</v>
      </c>
      <c r="C57" s="8">
        <v>0</v>
      </c>
      <c r="D57" s="3"/>
      <c r="E57" s="3"/>
      <c r="F57" s="3"/>
      <c r="G57" s="3"/>
      <c r="H57" s="3"/>
      <c r="I57" s="3"/>
      <c r="J57" s="3"/>
      <c r="K57" s="3"/>
      <c r="L57" s="3"/>
      <c r="M57" s="3"/>
      <c r="N57" s="3"/>
      <c r="P57" s="53">
        <v>45461</v>
      </c>
      <c r="Q57" s="41">
        <v>19826.650390625</v>
      </c>
      <c r="R57" s="41">
        <v>1492.42028808593</v>
      </c>
      <c r="S57" s="41">
        <f t="shared" si="0"/>
        <v>-3.4680947164468364E-3</v>
      </c>
      <c r="T57" s="41">
        <f t="shared" si="0"/>
        <v>3.2650263796045486E-3</v>
      </c>
    </row>
    <row r="58" spans="1:20" ht="14.4">
      <c r="A58" s="3"/>
      <c r="B58" s="3"/>
      <c r="C58" s="3"/>
      <c r="D58" s="3"/>
      <c r="E58" s="3"/>
      <c r="F58" s="3"/>
      <c r="G58" s="3"/>
      <c r="H58" s="3"/>
      <c r="I58" s="3"/>
      <c r="J58" s="3"/>
      <c r="K58" s="3"/>
      <c r="L58" s="3"/>
      <c r="M58" s="3"/>
      <c r="N58" s="3"/>
      <c r="P58" s="53">
        <v>45462</v>
      </c>
      <c r="Q58" s="41">
        <v>19644.5</v>
      </c>
      <c r="R58" s="41">
        <v>1475.78845214843</v>
      </c>
      <c r="S58" s="41">
        <f t="shared" si="0"/>
        <v>-9.1871489654717226E-3</v>
      </c>
      <c r="T58" s="41">
        <f t="shared" si="0"/>
        <v>-1.1144203861521332E-2</v>
      </c>
    </row>
    <row r="59" spans="1:20" ht="14.4">
      <c r="A59" s="3"/>
      <c r="B59" s="3"/>
      <c r="C59" s="3"/>
      <c r="D59" s="3"/>
      <c r="E59" s="3"/>
      <c r="F59" s="3"/>
      <c r="G59" s="3"/>
      <c r="H59" s="3"/>
      <c r="I59" s="3"/>
      <c r="J59" s="3"/>
      <c r="K59" s="3"/>
      <c r="L59" s="3"/>
      <c r="M59" s="3"/>
      <c r="N59" s="3"/>
      <c r="P59" s="53">
        <v>45463</v>
      </c>
      <c r="Q59" s="41">
        <v>19544.55078125</v>
      </c>
      <c r="R59" s="41">
        <v>1443.40747070312</v>
      </c>
      <c r="S59" s="41">
        <f t="shared" si="0"/>
        <v>-5.0878983303214642E-3</v>
      </c>
      <c r="T59" s="41">
        <f t="shared" si="0"/>
        <v>-2.1941479077282566E-2</v>
      </c>
    </row>
    <row r="60" spans="1:20" ht="14.4">
      <c r="A60" s="3"/>
      <c r="B60" s="3"/>
      <c r="C60" s="6"/>
      <c r="D60" s="3"/>
      <c r="E60" s="3"/>
      <c r="F60" s="3"/>
      <c r="G60" s="3"/>
      <c r="H60" s="3"/>
      <c r="I60" s="3"/>
      <c r="J60" s="3"/>
      <c r="K60" s="3"/>
      <c r="L60" s="3"/>
      <c r="M60" s="3"/>
      <c r="N60" s="3"/>
      <c r="P60" s="53">
        <v>45464</v>
      </c>
      <c r="Q60" s="41">
        <v>19528.400390625</v>
      </c>
      <c r="R60" s="41">
        <v>1439.72766113281</v>
      </c>
      <c r="S60" s="41">
        <f t="shared" si="0"/>
        <v>-8.2633726432299601E-4</v>
      </c>
      <c r="T60" s="41">
        <f t="shared" si="0"/>
        <v>-2.5493906918172392E-3</v>
      </c>
    </row>
    <row r="61" spans="1:20" ht="14.4">
      <c r="A61" s="3"/>
      <c r="B61" s="3"/>
      <c r="C61" s="6"/>
      <c r="D61" s="3"/>
      <c r="E61" s="3"/>
      <c r="F61" s="3"/>
      <c r="G61" s="3"/>
      <c r="H61" s="3"/>
      <c r="I61" s="3"/>
      <c r="J61" s="3"/>
      <c r="K61" s="3"/>
      <c r="L61" s="3"/>
      <c r="M61" s="3"/>
      <c r="N61" s="3"/>
      <c r="P61" s="53">
        <v>45467</v>
      </c>
      <c r="Q61" s="41">
        <v>19521.150390625</v>
      </c>
      <c r="R61" s="41">
        <v>1466.46667480468</v>
      </c>
      <c r="S61" s="41">
        <f t="shared" si="0"/>
        <v>-3.7125416598281691E-4</v>
      </c>
      <c r="T61" s="41">
        <f t="shared" si="0"/>
        <v>1.8572271960678413E-2</v>
      </c>
    </row>
    <row r="62" spans="1:20" ht="14.4">
      <c r="A62" s="12"/>
      <c r="B62" s="3"/>
      <c r="C62" s="12"/>
      <c r="D62" s="3"/>
      <c r="E62" s="3"/>
      <c r="F62" s="3"/>
      <c r="G62" s="3"/>
      <c r="H62" s="3"/>
      <c r="I62" s="3"/>
      <c r="J62" s="3"/>
      <c r="K62" s="3"/>
      <c r="L62" s="3"/>
      <c r="M62" s="3"/>
      <c r="N62" s="3"/>
      <c r="P62" s="53">
        <v>45468</v>
      </c>
      <c r="Q62" s="41">
        <v>19532.30078125</v>
      </c>
      <c r="R62" s="41">
        <v>1476.9658203125</v>
      </c>
      <c r="S62" s="41">
        <f t="shared" si="0"/>
        <v>5.7119536512330522E-4</v>
      </c>
      <c r="T62" s="41">
        <f t="shared" si="0"/>
        <v>7.1594845544092527E-3</v>
      </c>
    </row>
    <row r="63" spans="1:20" ht="14.4">
      <c r="A63" s="12"/>
      <c r="B63" s="3"/>
      <c r="C63" s="12"/>
      <c r="D63" s="3"/>
      <c r="E63" s="3"/>
      <c r="F63" s="3"/>
      <c r="G63" s="3"/>
      <c r="H63" s="3"/>
      <c r="I63" s="3"/>
      <c r="J63" s="3"/>
      <c r="K63" s="3"/>
      <c r="L63" s="3"/>
      <c r="M63" s="3"/>
      <c r="N63" s="3"/>
      <c r="P63" s="53">
        <v>45469</v>
      </c>
      <c r="Q63" s="41">
        <v>19545.349609375</v>
      </c>
      <c r="R63" s="41">
        <v>1492.61669921875</v>
      </c>
      <c r="S63" s="41">
        <f t="shared" si="0"/>
        <v>6.6806405815367134E-4</v>
      </c>
      <c r="T63" s="41">
        <f t="shared" si="0"/>
        <v>1.0596642583738701E-2</v>
      </c>
    </row>
    <row r="64" spans="1:20" ht="14.4">
      <c r="A64" s="12"/>
      <c r="B64" s="3"/>
      <c r="C64" s="12"/>
      <c r="D64" s="3"/>
      <c r="E64" s="3"/>
      <c r="F64" s="3"/>
      <c r="G64" s="3"/>
      <c r="H64" s="3"/>
      <c r="I64" s="3"/>
      <c r="J64" s="3"/>
      <c r="K64" s="3"/>
      <c r="L64" s="3"/>
      <c r="M64" s="3"/>
      <c r="N64" s="3"/>
      <c r="P64" s="53">
        <v>45470</v>
      </c>
      <c r="Q64" s="41">
        <v>19514.80078125</v>
      </c>
      <c r="R64" s="41">
        <v>1487.80847167968</v>
      </c>
      <c r="S64" s="41">
        <f t="shared" si="0"/>
        <v>-1.5629716907364574E-3</v>
      </c>
      <c r="T64" s="41">
        <f t="shared" si="0"/>
        <v>-3.2213411129506163E-3</v>
      </c>
    </row>
    <row r="65" spans="1:20" ht="14.4">
      <c r="A65" s="12"/>
      <c r="B65" s="3"/>
      <c r="C65" s="12"/>
      <c r="D65" s="3"/>
      <c r="E65" s="3"/>
      <c r="F65" s="3"/>
      <c r="G65" s="3"/>
      <c r="H65" s="3"/>
      <c r="I65" s="3"/>
      <c r="J65" s="3"/>
      <c r="K65" s="3"/>
      <c r="L65" s="3"/>
      <c r="M65" s="3"/>
      <c r="N65" s="3"/>
      <c r="P65" s="53">
        <v>45471</v>
      </c>
      <c r="Q65" s="41">
        <v>19731.55078125</v>
      </c>
      <c r="R65" s="41">
        <v>1492.322265625</v>
      </c>
      <c r="S65" s="41">
        <f t="shared" si="0"/>
        <v>1.1106954276891998E-2</v>
      </c>
      <c r="T65" s="41">
        <f t="shared" si="0"/>
        <v>3.033854176286615E-3</v>
      </c>
    </row>
    <row r="66" spans="1:20" ht="14.4">
      <c r="A66" s="12"/>
      <c r="B66" s="3"/>
      <c r="C66" s="12"/>
      <c r="D66" s="3"/>
      <c r="E66" s="3"/>
      <c r="F66" s="3"/>
      <c r="G66" s="3"/>
      <c r="H66" s="3"/>
      <c r="I66" s="3"/>
      <c r="J66" s="3"/>
      <c r="K66" s="3"/>
      <c r="L66" s="3"/>
      <c r="M66" s="3"/>
      <c r="N66" s="3"/>
      <c r="P66" s="53">
        <v>45474</v>
      </c>
      <c r="Q66" s="41">
        <v>19758.25</v>
      </c>
      <c r="R66" s="41">
        <v>1491.58630371093</v>
      </c>
      <c r="S66" s="41">
        <f t="shared" si="0"/>
        <v>1.353123180534348E-3</v>
      </c>
      <c r="T66" s="41">
        <f t="shared" si="0"/>
        <v>-4.9316553871946341E-4</v>
      </c>
    </row>
    <row r="67" spans="1:20" ht="14.4">
      <c r="A67" s="12"/>
      <c r="B67" s="3"/>
      <c r="C67" s="12"/>
      <c r="D67" s="3"/>
      <c r="E67" s="3"/>
      <c r="F67" s="3"/>
      <c r="G67" s="3"/>
      <c r="H67" s="3"/>
      <c r="I67" s="3"/>
      <c r="J67" s="3"/>
      <c r="K67" s="3"/>
      <c r="L67" s="3"/>
      <c r="M67" s="3"/>
      <c r="N67" s="3"/>
      <c r="P67" s="53">
        <v>45475</v>
      </c>
      <c r="Q67" s="41">
        <v>19786.400390625</v>
      </c>
      <c r="R67" s="41">
        <v>1495.46228027343</v>
      </c>
      <c r="S67" s="41">
        <f t="shared" si="0"/>
        <v>1.4247410891652854E-3</v>
      </c>
      <c r="T67" s="41">
        <f t="shared" si="0"/>
        <v>2.5985600383007846E-3</v>
      </c>
    </row>
    <row r="68" spans="1:20" ht="14.4">
      <c r="A68" s="12"/>
      <c r="B68" s="3"/>
      <c r="C68" s="12"/>
      <c r="D68" s="3"/>
      <c r="E68" s="3"/>
      <c r="F68" s="3"/>
      <c r="G68" s="3"/>
      <c r="H68" s="3"/>
      <c r="I68" s="3"/>
      <c r="J68" s="3"/>
      <c r="K68" s="3"/>
      <c r="L68" s="3"/>
      <c r="M68" s="3"/>
      <c r="N68" s="3"/>
      <c r="P68" s="53">
        <v>45476</v>
      </c>
      <c r="Q68" s="41">
        <v>19915.30078125</v>
      </c>
      <c r="R68" s="41">
        <v>1505.17651367187</v>
      </c>
      <c r="S68" s="41">
        <f t="shared" si="0"/>
        <v>6.514595281619507E-3</v>
      </c>
      <c r="T68" s="41">
        <f t="shared" si="0"/>
        <v>6.4958063647475297E-3</v>
      </c>
    </row>
    <row r="69" spans="1:20" ht="14.4">
      <c r="A69" s="12"/>
      <c r="B69" s="3"/>
      <c r="C69" s="12"/>
      <c r="D69" s="3"/>
      <c r="E69" s="3"/>
      <c r="F69" s="3"/>
      <c r="G69" s="3"/>
      <c r="H69" s="3"/>
      <c r="I69" s="3"/>
      <c r="J69" s="3"/>
      <c r="K69" s="3"/>
      <c r="L69" s="3"/>
      <c r="M69" s="3"/>
      <c r="N69" s="3"/>
      <c r="P69" s="53">
        <v>45477</v>
      </c>
      <c r="Q69" s="41">
        <v>20192.599609375</v>
      </c>
      <c r="R69" s="41">
        <v>1528.67736816406</v>
      </c>
      <c r="S69" s="41">
        <f t="shared" si="0"/>
        <v>1.3923908615333255E-2</v>
      </c>
      <c r="T69" s="41">
        <f t="shared" si="0"/>
        <v>1.5613354499439932E-2</v>
      </c>
    </row>
    <row r="70" spans="1:20" ht="14.4">
      <c r="A70" s="12"/>
      <c r="B70" s="3"/>
      <c r="C70" s="12"/>
      <c r="D70" s="3"/>
      <c r="E70" s="3"/>
      <c r="F70" s="3"/>
      <c r="G70" s="3"/>
      <c r="H70" s="3"/>
      <c r="I70" s="3"/>
      <c r="J70" s="3"/>
      <c r="K70" s="3"/>
      <c r="L70" s="3"/>
      <c r="M70" s="3"/>
      <c r="N70" s="3"/>
      <c r="P70" s="53">
        <v>45478</v>
      </c>
      <c r="Q70" s="41">
        <v>20453.849609375</v>
      </c>
      <c r="R70" s="41">
        <v>1538.98046875</v>
      </c>
      <c r="S70" s="41">
        <f t="shared" si="0"/>
        <v>1.2937908196758732E-2</v>
      </c>
      <c r="T70" s="41">
        <f t="shared" si="0"/>
        <v>6.7398790618023044E-3</v>
      </c>
    </row>
    <row r="71" spans="1:20" ht="14.4">
      <c r="J71" s="3"/>
      <c r="K71" s="3"/>
      <c r="L71" s="3"/>
      <c r="M71" s="3"/>
      <c r="P71" s="53">
        <v>45481</v>
      </c>
      <c r="Q71" s="41">
        <v>20325.80078125</v>
      </c>
      <c r="R71" s="41">
        <v>1527.20544433593</v>
      </c>
      <c r="S71" s="41">
        <f t="shared" si="0"/>
        <v>-6.2603779029600844E-3</v>
      </c>
      <c r="T71" s="41">
        <f t="shared" si="0"/>
        <v>-7.6511850885502041E-3</v>
      </c>
    </row>
    <row r="72" spans="1:20" ht="14.4">
      <c r="J72" s="3"/>
      <c r="K72" s="3"/>
      <c r="L72" s="3"/>
      <c r="M72" s="3"/>
      <c r="P72" s="53">
        <v>45482</v>
      </c>
      <c r="Q72" s="41">
        <v>20645.80078125</v>
      </c>
      <c r="R72" s="41">
        <v>1555.66149902343</v>
      </c>
      <c r="S72" s="41">
        <f t="shared" ref="S72:T135" si="3">(Q72-Q71)/Q71</f>
        <v>1.5743537164606636E-2</v>
      </c>
      <c r="T72" s="41">
        <f t="shared" si="3"/>
        <v>1.86327614225298E-2</v>
      </c>
    </row>
    <row r="73" spans="1:20" ht="15" customHeight="1">
      <c r="P73" s="53">
        <v>45483</v>
      </c>
      <c r="Q73" s="41">
        <v>20725.94921875</v>
      </c>
      <c r="R73" s="41">
        <v>1568.56481933593</v>
      </c>
      <c r="S73" s="41">
        <f t="shared" si="3"/>
        <v>3.8820696929706311E-3</v>
      </c>
      <c r="T73" s="41">
        <f t="shared" si="3"/>
        <v>8.2944267249656107E-3</v>
      </c>
    </row>
    <row r="74" spans="1:20" ht="15" customHeight="1">
      <c r="P74" s="53">
        <v>45484</v>
      </c>
      <c r="Q74" s="41">
        <v>20601.69921875</v>
      </c>
      <c r="R74" s="41">
        <v>1552.07995605468</v>
      </c>
      <c r="S74" s="41">
        <f t="shared" si="3"/>
        <v>-5.9949003391167061E-3</v>
      </c>
      <c r="T74" s="41">
        <f t="shared" si="3"/>
        <v>-1.0509519962476946E-2</v>
      </c>
    </row>
    <row r="75" spans="1:20" ht="15" customHeight="1">
      <c r="P75" s="53">
        <v>45485</v>
      </c>
      <c r="Q75" s="41">
        <v>20612.650390625</v>
      </c>
      <c r="R75" s="41">
        <v>1552.62145996093</v>
      </c>
      <c r="S75" s="41">
        <f t="shared" si="3"/>
        <v>5.3156643822045171E-4</v>
      </c>
      <c r="T75" s="41">
        <f t="shared" si="3"/>
        <v>3.4888918198936055E-4</v>
      </c>
    </row>
    <row r="76" spans="1:20" ht="15" customHeight="1">
      <c r="P76" s="53">
        <v>45488</v>
      </c>
      <c r="Q76" s="41">
        <v>20844.55078125</v>
      </c>
      <c r="R76" s="41">
        <v>1561.38195800781</v>
      </c>
      <c r="S76" s="41">
        <f t="shared" si="3"/>
        <v>1.125039168812917E-2</v>
      </c>
      <c r="T76" s="41">
        <f t="shared" si="3"/>
        <v>5.6423914474945172E-3</v>
      </c>
    </row>
    <row r="77" spans="1:20" ht="15" customHeight="1">
      <c r="P77" s="53">
        <v>45489</v>
      </c>
      <c r="Q77" s="41">
        <v>20765.44921875</v>
      </c>
      <c r="R77" s="41">
        <v>1554.59020996093</v>
      </c>
      <c r="S77" s="41">
        <f t="shared" si="3"/>
        <v>-3.7948317202956034E-3</v>
      </c>
      <c r="T77" s="41">
        <f t="shared" si="3"/>
        <v>-4.3498312581667668E-3</v>
      </c>
    </row>
    <row r="78" spans="1:20" ht="15" customHeight="1">
      <c r="P78" s="53">
        <v>45491</v>
      </c>
      <c r="Q78" s="41">
        <v>20768.349609375</v>
      </c>
      <c r="R78" s="41">
        <v>1569.30627441406</v>
      </c>
      <c r="S78" s="41">
        <f t="shared" si="3"/>
        <v>1.3967386857112221E-4</v>
      </c>
      <c r="T78" s="41">
        <f t="shared" si="3"/>
        <v>9.4662016773538332E-3</v>
      </c>
    </row>
    <row r="79" spans="1:20" ht="15" customHeight="1">
      <c r="P79" s="53">
        <v>45492</v>
      </c>
      <c r="Q79" s="41">
        <v>20425.400390625</v>
      </c>
      <c r="R79" s="41">
        <v>1544.10668945312</v>
      </c>
      <c r="S79" s="41">
        <f t="shared" si="3"/>
        <v>-1.6513070378745453E-2</v>
      </c>
      <c r="T79" s="41">
        <f t="shared" si="3"/>
        <v>-1.6057786406511947E-2</v>
      </c>
    </row>
    <row r="80" spans="1:20" ht="15" customHeight="1">
      <c r="P80" s="53">
        <v>45495</v>
      </c>
      <c r="Q80" s="41">
        <v>20641.55078125</v>
      </c>
      <c r="R80" s="41">
        <v>1562.51416015625</v>
      </c>
      <c r="S80" s="41">
        <f t="shared" si="3"/>
        <v>1.0582431016833838E-2</v>
      </c>
      <c r="T80" s="41">
        <f t="shared" si="3"/>
        <v>1.192111324227824E-2</v>
      </c>
    </row>
    <row r="81" spans="16:20" ht="15" customHeight="1">
      <c r="P81" s="53">
        <v>45496</v>
      </c>
      <c r="Q81" s="41">
        <v>20755.349609375</v>
      </c>
      <c r="R81" s="41">
        <v>1576.54113769531</v>
      </c>
      <c r="S81" s="41">
        <f t="shared" si="3"/>
        <v>5.5130948895744077E-3</v>
      </c>
      <c r="T81" s="41">
        <f t="shared" si="3"/>
        <v>8.9771842692659594E-3</v>
      </c>
    </row>
    <row r="82" spans="16:20" ht="15" customHeight="1">
      <c r="P82" s="53">
        <v>45497</v>
      </c>
      <c r="Q82" s="41">
        <v>20908.5</v>
      </c>
      <c r="R82" s="41">
        <v>1594.11181640625</v>
      </c>
      <c r="S82" s="41">
        <f t="shared" si="3"/>
        <v>7.3788393598450096E-3</v>
      </c>
      <c r="T82" s="41">
        <f t="shared" si="3"/>
        <v>1.11450810199764E-2</v>
      </c>
    </row>
    <row r="83" spans="16:20" ht="15" customHeight="1">
      <c r="P83" s="53">
        <v>45498</v>
      </c>
      <c r="Q83" s="41">
        <v>21105.5</v>
      </c>
      <c r="R83" s="41">
        <v>1639.73669433593</v>
      </c>
      <c r="S83" s="41">
        <f t="shared" si="3"/>
        <v>9.4220054045005622E-3</v>
      </c>
      <c r="T83" s="41">
        <f t="shared" si="3"/>
        <v>2.8620876816869895E-2</v>
      </c>
    </row>
    <row r="84" spans="16:20" ht="15" customHeight="1">
      <c r="P84" s="53">
        <v>45499</v>
      </c>
      <c r="Q84" s="41">
        <v>21603.099609375</v>
      </c>
      <c r="R84" s="41">
        <v>1687.42858886718</v>
      </c>
      <c r="S84" s="41">
        <f t="shared" si="3"/>
        <v>2.3576774270924642E-2</v>
      </c>
      <c r="T84" s="41">
        <f t="shared" si="3"/>
        <v>2.9085093171354891E-2</v>
      </c>
    </row>
    <row r="85" spans="16:20" ht="15" customHeight="1">
      <c r="P85" s="53">
        <v>45502</v>
      </c>
      <c r="Q85" s="41">
        <v>21674.94921875</v>
      </c>
      <c r="R85" s="41">
        <v>1696.28784179687</v>
      </c>
      <c r="S85" s="41">
        <f t="shared" si="3"/>
        <v>3.3258935372320253E-3</v>
      </c>
      <c r="T85" s="41">
        <f t="shared" si="3"/>
        <v>5.2501498363480238E-3</v>
      </c>
    </row>
    <row r="86" spans="16:20" ht="15" customHeight="1">
      <c r="P86" s="53">
        <v>45503</v>
      </c>
      <c r="Q86" s="41">
        <v>21540.80078125</v>
      </c>
      <c r="R86" s="41">
        <v>1674.97644042968</v>
      </c>
      <c r="S86" s="41">
        <f t="shared" si="3"/>
        <v>-6.1891004286162002E-3</v>
      </c>
      <c r="T86" s="41">
        <f t="shared" si="3"/>
        <v>-1.2563552506875797E-2</v>
      </c>
    </row>
    <row r="87" spans="16:20" ht="15" customHeight="1">
      <c r="P87" s="53">
        <v>45504</v>
      </c>
      <c r="Q87" s="41">
        <v>21777.150390625</v>
      </c>
      <c r="R87" s="41">
        <v>1692.44885253906</v>
      </c>
      <c r="S87" s="41">
        <f t="shared" si="3"/>
        <v>1.0972183057406503E-2</v>
      </c>
      <c r="T87" s="41">
        <f t="shared" si="3"/>
        <v>1.0431437534069329E-2</v>
      </c>
    </row>
    <row r="88" spans="16:20" ht="15" customHeight="1">
      <c r="P88" s="53">
        <v>45505</v>
      </c>
      <c r="Q88" s="41">
        <v>21790.349609375</v>
      </c>
      <c r="R88" s="41">
        <v>1688.36364746093</v>
      </c>
      <c r="S88" s="41">
        <f t="shared" si="3"/>
        <v>6.061040362600529E-4</v>
      </c>
      <c r="T88" s="41">
        <f t="shared" si="3"/>
        <v>-2.4137834783020244E-3</v>
      </c>
    </row>
    <row r="89" spans="16:20" ht="15" customHeight="1">
      <c r="P89" s="53">
        <v>45506</v>
      </c>
      <c r="Q89" s="41">
        <v>21902.849609375</v>
      </c>
      <c r="R89" s="41">
        <v>1704.55627441406</v>
      </c>
      <c r="S89" s="41">
        <f t="shared" si="3"/>
        <v>5.1628359350231997E-3</v>
      </c>
      <c r="T89" s="41">
        <f t="shared" si="3"/>
        <v>9.5907223408188847E-3</v>
      </c>
    </row>
    <row r="90" spans="16:20" ht="15" customHeight="1">
      <c r="P90" s="53">
        <v>45509</v>
      </c>
      <c r="Q90" s="41">
        <v>21583.05078125</v>
      </c>
      <c r="R90" s="41">
        <v>1693.43310546875</v>
      </c>
      <c r="S90" s="41">
        <f t="shared" si="3"/>
        <v>-1.4600786373847796E-2</v>
      </c>
      <c r="T90" s="41">
        <f t="shared" si="3"/>
        <v>-6.5255510259604544E-3</v>
      </c>
    </row>
    <row r="91" spans="16:20" ht="15" customHeight="1">
      <c r="P91" s="53">
        <v>45510</v>
      </c>
      <c r="Q91" s="41">
        <v>21562.55078125</v>
      </c>
      <c r="R91" s="41">
        <v>1680.83349609375</v>
      </c>
      <c r="S91" s="41">
        <f t="shared" si="3"/>
        <v>-9.4981938409787337E-4</v>
      </c>
      <c r="T91" s="41">
        <f t="shared" si="3"/>
        <v>-7.4402758126736693E-3</v>
      </c>
    </row>
    <row r="92" spans="16:20" ht="15" customHeight="1">
      <c r="P92" s="53">
        <v>45511</v>
      </c>
      <c r="Q92" s="41">
        <v>22036.94921875</v>
      </c>
      <c r="R92" s="41">
        <v>1707.3125</v>
      </c>
      <c r="S92" s="41">
        <f t="shared" si="3"/>
        <v>2.2001035142489699E-2</v>
      </c>
      <c r="T92" s="41">
        <f t="shared" si="3"/>
        <v>1.5753496088569803E-2</v>
      </c>
    </row>
    <row r="93" spans="16:20" ht="15" customHeight="1">
      <c r="P93" s="53">
        <v>45512</v>
      </c>
      <c r="Q93" s="41">
        <v>22114.25</v>
      </c>
      <c r="R93" s="41">
        <v>1709.87194824218</v>
      </c>
      <c r="S93" s="41">
        <f t="shared" si="3"/>
        <v>3.5077805227335694E-3</v>
      </c>
      <c r="T93" s="41">
        <f t="shared" si="3"/>
        <v>1.4991094144627868E-3</v>
      </c>
    </row>
    <row r="94" spans="16:20" ht="15" customHeight="1">
      <c r="P94" s="53">
        <v>45513</v>
      </c>
      <c r="Q94" s="41">
        <v>22209.55078125</v>
      </c>
      <c r="R94" s="41">
        <v>1708.14929199218</v>
      </c>
      <c r="S94" s="41">
        <f t="shared" si="3"/>
        <v>4.3094738121347096E-3</v>
      </c>
      <c r="T94" s="41">
        <f t="shared" si="3"/>
        <v>-1.0074767597485663E-3</v>
      </c>
    </row>
    <row r="95" spans="16:20" ht="15" customHeight="1">
      <c r="P95" s="53">
        <v>45516</v>
      </c>
      <c r="Q95" s="41">
        <v>22205.599609375</v>
      </c>
      <c r="R95" s="41">
        <v>1706.72192382812</v>
      </c>
      <c r="S95" s="41">
        <f t="shared" si="3"/>
        <v>-1.7790417797804823E-4</v>
      </c>
      <c r="T95" s="41">
        <f t="shared" si="3"/>
        <v>-8.3562260673087198E-4</v>
      </c>
    </row>
    <row r="96" spans="16:20" ht="15" customHeight="1">
      <c r="P96" s="53">
        <v>45517</v>
      </c>
      <c r="Q96" s="41">
        <v>22191.599609375</v>
      </c>
      <c r="R96" s="41">
        <v>1712.87414550781</v>
      </c>
      <c r="S96" s="41">
        <f t="shared" si="3"/>
        <v>-6.304716038421826E-4</v>
      </c>
      <c r="T96" s="41">
        <f t="shared" si="3"/>
        <v>3.6047006801733549E-3</v>
      </c>
    </row>
    <row r="97" spans="16:20" ht="15" customHeight="1">
      <c r="P97" s="53">
        <v>45518</v>
      </c>
      <c r="Q97" s="41">
        <v>22012.69921875</v>
      </c>
      <c r="R97" s="41">
        <v>1714.40002441406</v>
      </c>
      <c r="S97" s="41">
        <f t="shared" si="3"/>
        <v>-8.061626641345054E-3</v>
      </c>
      <c r="T97" s="41">
        <f t="shared" si="3"/>
        <v>8.9082955116800359E-4</v>
      </c>
    </row>
    <row r="98" spans="16:20" ht="15" customHeight="1">
      <c r="P98" s="53">
        <v>45520</v>
      </c>
      <c r="Q98" s="41">
        <v>22106.5</v>
      </c>
      <c r="R98" s="41">
        <v>1715.48278808593</v>
      </c>
      <c r="S98" s="41">
        <f t="shared" si="3"/>
        <v>4.2612121447651577E-3</v>
      </c>
      <c r="T98" s="41">
        <f t="shared" si="3"/>
        <v>6.3157002826108794E-4</v>
      </c>
    </row>
    <row r="99" spans="16:20" ht="15" customHeight="1">
      <c r="P99" s="53">
        <v>45523</v>
      </c>
      <c r="Q99" s="41">
        <v>22237.849609375</v>
      </c>
      <c r="R99" s="41">
        <v>1720.45385742187</v>
      </c>
      <c r="S99" s="41">
        <f t="shared" si="3"/>
        <v>5.9416736876031937E-3</v>
      </c>
      <c r="T99" s="41">
        <f t="shared" si="3"/>
        <v>2.8977669554391332E-3</v>
      </c>
    </row>
    <row r="100" spans="16:20" ht="15" customHeight="1">
      <c r="P100" s="53">
        <v>45524</v>
      </c>
      <c r="Q100" s="41">
        <v>22374.25</v>
      </c>
      <c r="R100" s="41">
        <v>1738.71337890625</v>
      </c>
      <c r="S100" s="41">
        <f t="shared" si="3"/>
        <v>6.1337041584945571E-3</v>
      </c>
      <c r="T100" s="41">
        <f t="shared" si="3"/>
        <v>1.0613200351529458E-2</v>
      </c>
    </row>
    <row r="101" spans="16:20" ht="15" customHeight="1">
      <c r="P101" s="53">
        <v>45525</v>
      </c>
      <c r="Q101" s="41">
        <v>22577.900390625</v>
      </c>
      <c r="R101" s="41">
        <v>1737.0400390625</v>
      </c>
      <c r="S101" s="41">
        <f t="shared" si="3"/>
        <v>9.1019985306770058E-3</v>
      </c>
      <c r="T101" s="41">
        <f t="shared" si="3"/>
        <v>-9.6240120082507574E-4</v>
      </c>
    </row>
    <row r="102" spans="16:20" ht="15" customHeight="1">
      <c r="P102" s="53">
        <v>45526</v>
      </c>
      <c r="Q102" s="41">
        <v>22546.099609375</v>
      </c>
      <c r="R102" s="41">
        <v>1723.25915527343</v>
      </c>
      <c r="S102" s="41">
        <f t="shared" si="3"/>
        <v>-1.4084915204606275E-3</v>
      </c>
      <c r="T102" s="41">
        <f t="shared" si="3"/>
        <v>-7.933544120553318E-3</v>
      </c>
    </row>
    <row r="103" spans="16:20" ht="15" customHeight="1">
      <c r="P103" s="53">
        <v>45527</v>
      </c>
      <c r="Q103" s="41">
        <v>22527.849609375</v>
      </c>
      <c r="R103" s="41">
        <v>1747.96643066406</v>
      </c>
      <c r="S103" s="41">
        <f t="shared" si="3"/>
        <v>-8.0945264663034584E-4</v>
      </c>
      <c r="T103" s="41">
        <f t="shared" si="3"/>
        <v>1.4337527420076112E-2</v>
      </c>
    </row>
    <row r="104" spans="16:20" ht="15" customHeight="1">
      <c r="P104" s="53">
        <v>45530</v>
      </c>
      <c r="Q104" s="41">
        <v>22554.94921875</v>
      </c>
      <c r="R104" s="41">
        <v>1744.71789550781</v>
      </c>
      <c r="S104" s="41">
        <f t="shared" si="3"/>
        <v>1.2029381341272119E-3</v>
      </c>
      <c r="T104" s="41">
        <f t="shared" si="3"/>
        <v>-1.858465414015913E-3</v>
      </c>
    </row>
    <row r="105" spans="16:20" ht="15" customHeight="1">
      <c r="P105" s="53">
        <v>45531</v>
      </c>
      <c r="Q105" s="41">
        <v>22729</v>
      </c>
      <c r="R105" s="41">
        <v>1761.40270996093</v>
      </c>
      <c r="S105" s="41">
        <f t="shared" si="3"/>
        <v>7.7167445407197392E-3</v>
      </c>
      <c r="T105" s="41">
        <f t="shared" si="3"/>
        <v>9.5630442583749548E-3</v>
      </c>
    </row>
    <row r="106" spans="16:20" ht="15" customHeight="1">
      <c r="P106" s="53">
        <v>45532</v>
      </c>
      <c r="Q106" s="41">
        <v>22989.099609375</v>
      </c>
      <c r="R106" s="41">
        <v>1783.50146484375</v>
      </c>
      <c r="S106" s="41">
        <f t="shared" si="3"/>
        <v>1.1443513105503981E-2</v>
      </c>
      <c r="T106" s="41">
        <f t="shared" si="3"/>
        <v>1.2546111549533258E-2</v>
      </c>
    </row>
    <row r="107" spans="16:20" ht="15" customHeight="1">
      <c r="P107" s="53">
        <v>45533</v>
      </c>
      <c r="Q107" s="41">
        <v>22878.05078125</v>
      </c>
      <c r="R107" s="41">
        <v>1771.04943847656</v>
      </c>
      <c r="S107" s="41">
        <f t="shared" si="3"/>
        <v>-4.8304992371129693E-3</v>
      </c>
      <c r="T107" s="41">
        <f t="shared" si="3"/>
        <v>-6.9817864535821426E-3</v>
      </c>
    </row>
    <row r="108" spans="16:20" ht="15" customHeight="1">
      <c r="P108" s="53">
        <v>45534</v>
      </c>
      <c r="Q108" s="41">
        <v>23217.599609375</v>
      </c>
      <c r="R108" s="41">
        <v>1793.14819335937</v>
      </c>
      <c r="S108" s="41">
        <f t="shared" si="3"/>
        <v>1.4841685219235618E-2</v>
      </c>
      <c r="T108" s="41">
        <f t="shared" si="3"/>
        <v>1.2477774139280459E-2</v>
      </c>
    </row>
    <row r="109" spans="16:20" ht="15" customHeight="1">
      <c r="P109" s="53">
        <v>45537</v>
      </c>
      <c r="Q109" s="41">
        <v>22987.44921875</v>
      </c>
      <c r="R109" s="41">
        <v>1787.53747558593</v>
      </c>
      <c r="S109" s="41">
        <f t="shared" si="3"/>
        <v>-9.9127556033858002E-3</v>
      </c>
      <c r="T109" s="41">
        <f t="shared" si="3"/>
        <v>-3.1289760624461345E-3</v>
      </c>
    </row>
    <row r="110" spans="16:20" ht="15" customHeight="1">
      <c r="P110" s="53">
        <v>45538</v>
      </c>
      <c r="Q110" s="41">
        <v>23014.30078125</v>
      </c>
      <c r="R110" s="41">
        <v>1783.15710449218</v>
      </c>
      <c r="S110" s="41">
        <f t="shared" si="3"/>
        <v>1.1680966532858369E-3</v>
      </c>
      <c r="T110" s="41">
        <f t="shared" si="3"/>
        <v>-2.4505058795000509E-3</v>
      </c>
    </row>
    <row r="111" spans="16:20" ht="15" customHeight="1">
      <c r="P111" s="53">
        <v>45539</v>
      </c>
      <c r="Q111" s="41">
        <v>23184.400390625</v>
      </c>
      <c r="R111" s="41">
        <v>1804.17297363281</v>
      </c>
      <c r="S111" s="41">
        <f t="shared" si="3"/>
        <v>7.3910396406038975E-3</v>
      </c>
      <c r="T111" s="41">
        <f t="shared" si="3"/>
        <v>1.1785764186277378E-2</v>
      </c>
    </row>
    <row r="112" spans="16:20" ht="15" customHeight="1">
      <c r="P112" s="53">
        <v>45540</v>
      </c>
      <c r="Q112" s="41">
        <v>23156.69921875</v>
      </c>
      <c r="R112" s="41">
        <v>1797.92248535156</v>
      </c>
      <c r="S112" s="41">
        <f t="shared" si="3"/>
        <v>-1.1948194220369585E-3</v>
      </c>
      <c r="T112" s="41">
        <f t="shared" si="3"/>
        <v>-3.4644617631447326E-3</v>
      </c>
    </row>
    <row r="113" spans="16:20" ht="15" customHeight="1">
      <c r="P113" s="53">
        <v>45541</v>
      </c>
      <c r="Q113" s="41">
        <v>23043.400390625</v>
      </c>
      <c r="R113" s="41">
        <v>1796.0029296875</v>
      </c>
      <c r="S113" s="41">
        <f t="shared" si="3"/>
        <v>-4.8927019803090867E-3</v>
      </c>
      <c r="T113" s="41">
        <f t="shared" si="3"/>
        <v>-1.0676520704865956E-3</v>
      </c>
    </row>
    <row r="114" spans="16:20" ht="15" customHeight="1">
      <c r="P114" s="53">
        <v>45544</v>
      </c>
      <c r="Q114" s="41">
        <v>23009.400390625</v>
      </c>
      <c r="R114" s="41">
        <v>1793.34509277343</v>
      </c>
      <c r="S114" s="41">
        <f t="shared" si="3"/>
        <v>-1.4754766841543314E-3</v>
      </c>
      <c r="T114" s="41">
        <f t="shared" si="3"/>
        <v>-1.479862237492263E-3</v>
      </c>
    </row>
    <row r="115" spans="16:20" ht="15" customHeight="1">
      <c r="P115" s="53">
        <v>45545</v>
      </c>
      <c r="Q115" s="41">
        <v>23256.849609375</v>
      </c>
      <c r="R115" s="41">
        <v>1807.6181640625</v>
      </c>
      <c r="S115" s="41">
        <f t="shared" si="3"/>
        <v>1.0754266280264359E-2</v>
      </c>
      <c r="T115" s="41">
        <f t="shared" si="3"/>
        <v>7.9589094963293007E-3</v>
      </c>
    </row>
    <row r="116" spans="16:20" ht="15" customHeight="1">
      <c r="P116" s="53">
        <v>45546</v>
      </c>
      <c r="Q116" s="41">
        <v>23220.400390625</v>
      </c>
      <c r="R116" s="41">
        <v>1816.82189941406</v>
      </c>
      <c r="S116" s="41">
        <f t="shared" si="3"/>
        <v>-1.5672466117382924E-3</v>
      </c>
      <c r="T116" s="41">
        <f t="shared" si="3"/>
        <v>5.0916369034902948E-3</v>
      </c>
    </row>
    <row r="117" spans="16:20" ht="15" customHeight="1">
      <c r="P117" s="53">
        <v>45547</v>
      </c>
      <c r="Q117" s="41">
        <v>23429.599609375</v>
      </c>
      <c r="R117" s="41">
        <v>1836.21374511718</v>
      </c>
      <c r="S117" s="41">
        <f t="shared" si="3"/>
        <v>9.0092855950262615E-3</v>
      </c>
      <c r="T117" s="41">
        <f t="shared" si="3"/>
        <v>1.067349843667892E-2</v>
      </c>
    </row>
    <row r="118" spans="16:20" ht="15" customHeight="1">
      <c r="P118" s="53">
        <v>45548</v>
      </c>
      <c r="Q118" s="41">
        <v>23457.650390625</v>
      </c>
      <c r="R118" s="41">
        <v>1824.74597167968</v>
      </c>
      <c r="S118" s="41">
        <f t="shared" si="3"/>
        <v>1.1972369019390286E-3</v>
      </c>
      <c r="T118" s="41">
        <f t="shared" si="3"/>
        <v>-6.2453368884721923E-3</v>
      </c>
    </row>
    <row r="119" spans="16:20" ht="15" customHeight="1">
      <c r="P119" s="53">
        <v>45551</v>
      </c>
      <c r="Q119" s="41">
        <v>23448.75</v>
      </c>
      <c r="R119" s="41">
        <v>1833.80200195312</v>
      </c>
      <c r="S119" s="41">
        <f t="shared" si="3"/>
        <v>-3.7942379039620686E-4</v>
      </c>
      <c r="T119" s="41">
        <f t="shared" si="3"/>
        <v>4.9628991728113908E-3</v>
      </c>
    </row>
    <row r="120" spans="16:20" ht="15" customHeight="1">
      <c r="P120" s="53">
        <v>45552</v>
      </c>
      <c r="Q120" s="41">
        <v>23383.650390625</v>
      </c>
      <c r="R120" s="41">
        <v>1836.90270996093</v>
      </c>
      <c r="S120" s="41">
        <f t="shared" si="3"/>
        <v>-2.7762507329815024E-3</v>
      </c>
      <c r="T120" s="41">
        <f t="shared" si="3"/>
        <v>1.6908630291097625E-3</v>
      </c>
    </row>
    <row r="121" spans="16:20" ht="15" customHeight="1">
      <c r="P121" s="53">
        <v>45553</v>
      </c>
      <c r="Q121" s="41">
        <v>23025.19921875</v>
      </c>
      <c r="R121" s="41">
        <v>1807.27355957031</v>
      </c>
      <c r="S121" s="41">
        <f t="shared" si="3"/>
        <v>-1.5329136635514815E-2</v>
      </c>
      <c r="T121" s="41">
        <f t="shared" si="3"/>
        <v>-1.6129950829704091E-2</v>
      </c>
    </row>
    <row r="122" spans="16:20" ht="15" customHeight="1">
      <c r="P122" s="53">
        <v>45554</v>
      </c>
      <c r="Q122" s="41">
        <v>22930.150390625</v>
      </c>
      <c r="R122" s="41">
        <v>1817.16650390625</v>
      </c>
      <c r="S122" s="41">
        <f t="shared" si="3"/>
        <v>-4.1280349942683378E-3</v>
      </c>
      <c r="T122" s="41">
        <f t="shared" si="3"/>
        <v>5.4739606428437469E-3</v>
      </c>
    </row>
    <row r="123" spans="16:20" ht="15" customHeight="1">
      <c r="P123" s="53">
        <v>45555</v>
      </c>
      <c r="Q123" s="41">
        <v>23005.25</v>
      </c>
      <c r="R123" s="41">
        <v>1836.55834960937</v>
      </c>
      <c r="S123" s="41">
        <f t="shared" si="3"/>
        <v>3.2751468305111729E-3</v>
      </c>
      <c r="T123" s="41">
        <f t="shared" si="3"/>
        <v>1.0671474331842762E-2</v>
      </c>
    </row>
    <row r="124" spans="16:20" ht="15" customHeight="1">
      <c r="P124" s="53">
        <v>45558</v>
      </c>
      <c r="Q124" s="41">
        <v>23134.25</v>
      </c>
      <c r="R124" s="41">
        <v>1833.55603027343</v>
      </c>
      <c r="S124" s="41">
        <f t="shared" si="3"/>
        <v>5.6074156985905389E-3</v>
      </c>
      <c r="T124" s="41">
        <f t="shared" si="3"/>
        <v>-1.6347530349790328E-3</v>
      </c>
    </row>
    <row r="125" spans="16:20" ht="15" customHeight="1">
      <c r="P125" s="53">
        <v>45559</v>
      </c>
      <c r="Q125" s="41">
        <v>23188.400390625</v>
      </c>
      <c r="R125" s="41">
        <v>1838.87133789062</v>
      </c>
      <c r="S125" s="41">
        <f t="shared" si="3"/>
        <v>2.3407022326204655E-3</v>
      </c>
      <c r="T125" s="41">
        <f t="shared" si="3"/>
        <v>2.8989065670370342E-3</v>
      </c>
    </row>
    <row r="126" spans="16:20" ht="15" customHeight="1">
      <c r="P126" s="53">
        <v>45560</v>
      </c>
      <c r="Q126" s="41">
        <v>23249</v>
      </c>
      <c r="R126" s="41">
        <v>1841.283203125</v>
      </c>
      <c r="S126" s="41">
        <f t="shared" si="3"/>
        <v>2.6133587636127001E-3</v>
      </c>
      <c r="T126" s="41">
        <f t="shared" si="3"/>
        <v>1.3116008633571215E-3</v>
      </c>
    </row>
    <row r="127" spans="16:20" ht="15" customHeight="1">
      <c r="P127" s="53">
        <v>45561</v>
      </c>
      <c r="Q127" s="41">
        <v>23250.900390625</v>
      </c>
      <c r="R127" s="41">
        <v>1868.69738769531</v>
      </c>
      <c r="S127" s="41">
        <f t="shared" si="3"/>
        <v>8.1740746913845755E-5</v>
      </c>
      <c r="T127" s="41">
        <f t="shared" si="3"/>
        <v>1.4888630126958759E-2</v>
      </c>
    </row>
    <row r="128" spans="16:20" ht="15" customHeight="1">
      <c r="P128" s="53">
        <v>45562</v>
      </c>
      <c r="Q128" s="41">
        <v>23519.099609375</v>
      </c>
      <c r="R128" s="41">
        <v>1918.21032714843</v>
      </c>
      <c r="S128" s="41">
        <f t="shared" si="3"/>
        <v>1.1535003558749951E-2</v>
      </c>
      <c r="T128" s="41">
        <f t="shared" si="3"/>
        <v>2.6495964396988311E-2</v>
      </c>
    </row>
    <row r="129" spans="16:20" ht="15" customHeight="1">
      <c r="P129" s="53">
        <v>45565</v>
      </c>
      <c r="Q129" s="41">
        <v>23281.19921875</v>
      </c>
      <c r="R129" s="41">
        <v>1896.55456542968</v>
      </c>
      <c r="S129" s="41">
        <f t="shared" si="3"/>
        <v>-1.0115199755783594E-2</v>
      </c>
      <c r="T129" s="41">
        <f t="shared" si="3"/>
        <v>-1.1289565806343556E-2</v>
      </c>
    </row>
    <row r="130" spans="16:20" ht="15" customHeight="1">
      <c r="P130" s="53">
        <v>45566</v>
      </c>
      <c r="Q130" s="41">
        <v>23296.55078125</v>
      </c>
      <c r="R130" s="41">
        <v>1889.91015625</v>
      </c>
      <c r="S130" s="41">
        <f t="shared" si="3"/>
        <v>6.5939741143730679E-4</v>
      </c>
      <c r="T130" s="41">
        <f t="shared" si="3"/>
        <v>-3.5034105007016505E-3</v>
      </c>
    </row>
    <row r="131" spans="16:20" ht="15" customHeight="1">
      <c r="P131" s="53">
        <v>45568</v>
      </c>
      <c r="Q131" s="41">
        <v>23178.75</v>
      </c>
      <c r="R131" s="41">
        <v>1880.95263671875</v>
      </c>
      <c r="S131" s="41">
        <f t="shared" si="3"/>
        <v>-5.0565760724034219E-3</v>
      </c>
      <c r="T131" s="41">
        <f t="shared" si="3"/>
        <v>-4.7396536293681287E-3</v>
      </c>
    </row>
    <row r="132" spans="16:20" ht="15" customHeight="1">
      <c r="P132" s="53">
        <v>45569</v>
      </c>
      <c r="Q132" s="41">
        <v>23094.69921875</v>
      </c>
      <c r="R132" s="41">
        <v>1880.16516113281</v>
      </c>
      <c r="S132" s="41">
        <f t="shared" si="3"/>
        <v>-3.6261999137140702E-3</v>
      </c>
      <c r="T132" s="41">
        <f t="shared" si="3"/>
        <v>-4.1865784952125224E-4</v>
      </c>
    </row>
    <row r="133" spans="16:20" ht="15" customHeight="1">
      <c r="P133" s="53">
        <v>45572</v>
      </c>
      <c r="Q133" s="41">
        <v>22977.80078125</v>
      </c>
      <c r="R133" s="41">
        <v>1875.44018554687</v>
      </c>
      <c r="S133" s="41">
        <f t="shared" si="3"/>
        <v>-5.0616999335108522E-3</v>
      </c>
      <c r="T133" s="41">
        <f t="shared" si="3"/>
        <v>-2.5130641092685588E-3</v>
      </c>
    </row>
    <row r="134" spans="16:20" ht="15" customHeight="1">
      <c r="P134" s="53">
        <v>45573</v>
      </c>
      <c r="Q134" s="41">
        <v>23307.94921875</v>
      </c>
      <c r="R134" s="41">
        <v>1887.15405273437</v>
      </c>
      <c r="S134" s="41">
        <f t="shared" si="3"/>
        <v>1.4368147789382993E-2</v>
      </c>
      <c r="T134" s="41">
        <f t="shared" si="3"/>
        <v>6.2459295037896869E-3</v>
      </c>
    </row>
    <row r="135" spans="16:20" ht="15" customHeight="1">
      <c r="P135" s="53">
        <v>45574</v>
      </c>
      <c r="Q135" s="41">
        <v>23783.80078125</v>
      </c>
      <c r="R135" s="41">
        <v>1900.63977050781</v>
      </c>
      <c r="S135" s="41">
        <f t="shared" si="3"/>
        <v>2.0415848603153933E-2</v>
      </c>
      <c r="T135" s="41">
        <f t="shared" si="3"/>
        <v>7.1460608920082738E-3</v>
      </c>
    </row>
    <row r="136" spans="16:20" ht="15" customHeight="1">
      <c r="P136" s="53">
        <v>45575</v>
      </c>
      <c r="Q136" s="41">
        <v>23305.150390625</v>
      </c>
      <c r="R136" s="41">
        <v>1858.21398925781</v>
      </c>
      <c r="S136" s="41">
        <f t="shared" ref="S136:T199" si="4">(Q136-Q135)/Q135</f>
        <v>-2.0125058859488298E-2</v>
      </c>
      <c r="T136" s="41">
        <f t="shared" si="4"/>
        <v>-2.2321842312425538E-2</v>
      </c>
    </row>
    <row r="137" spans="16:20" ht="15" customHeight="1">
      <c r="P137" s="53">
        <v>45576</v>
      </c>
      <c r="Q137" s="41">
        <v>23582.25</v>
      </c>
      <c r="R137" s="41">
        <v>1872.19189453125</v>
      </c>
      <c r="S137" s="41">
        <f t="shared" si="4"/>
        <v>1.1890058838087109E-2</v>
      </c>
      <c r="T137" s="41">
        <f t="shared" si="4"/>
        <v>7.522225833109201E-3</v>
      </c>
    </row>
    <row r="138" spans="16:20" ht="15" customHeight="1">
      <c r="P138" s="53">
        <v>45579</v>
      </c>
      <c r="Q138" s="41">
        <v>23680</v>
      </c>
      <c r="R138" s="41">
        <v>1879.86975097656</v>
      </c>
      <c r="S138" s="41">
        <f t="shared" si="4"/>
        <v>4.1450667345143064E-3</v>
      </c>
      <c r="T138" s="41">
        <f t="shared" si="4"/>
        <v>4.1009986571020497E-3</v>
      </c>
    </row>
    <row r="139" spans="16:20" ht="15" customHeight="1">
      <c r="P139" s="53">
        <v>45580</v>
      </c>
      <c r="Q139" s="41">
        <v>23555.69921875</v>
      </c>
      <c r="R139" s="41">
        <v>1868.74658203125</v>
      </c>
      <c r="S139" s="41">
        <f t="shared" si="4"/>
        <v>-5.249188397381757E-3</v>
      </c>
      <c r="T139" s="41">
        <f t="shared" si="4"/>
        <v>-5.9169891634948133E-3</v>
      </c>
    </row>
    <row r="140" spans="16:20" ht="15" customHeight="1">
      <c r="P140" s="53">
        <v>45581</v>
      </c>
      <c r="Q140" s="41">
        <v>23467.349609375</v>
      </c>
      <c r="R140" s="41">
        <v>1868.79577636718</v>
      </c>
      <c r="S140" s="41">
        <f t="shared" si="4"/>
        <v>-3.7506680890489114E-3</v>
      </c>
      <c r="T140" s="41">
        <f t="shared" si="4"/>
        <v>2.6324776405222622E-5</v>
      </c>
    </row>
    <row r="141" spans="16:20" ht="15" customHeight="1">
      <c r="P141" s="53">
        <v>45582</v>
      </c>
      <c r="Q141" s="41">
        <v>23254</v>
      </c>
      <c r="R141" s="41">
        <v>1859.98583984375</v>
      </c>
      <c r="S141" s="41">
        <f t="shared" si="4"/>
        <v>-9.0913380899975468E-3</v>
      </c>
      <c r="T141" s="41">
        <f t="shared" si="4"/>
        <v>-4.7142318250290314E-3</v>
      </c>
    </row>
    <row r="142" spans="16:20" ht="15" customHeight="1">
      <c r="P142" s="53">
        <v>45583</v>
      </c>
      <c r="Q142" s="41">
        <v>23356.19921875</v>
      </c>
      <c r="R142" s="41">
        <v>1880.46044921875</v>
      </c>
      <c r="S142" s="41">
        <f t="shared" si="4"/>
        <v>4.3949092091683153E-3</v>
      </c>
      <c r="T142" s="41">
        <f t="shared" si="4"/>
        <v>1.1007938305981938E-2</v>
      </c>
    </row>
    <row r="143" spans="16:20" ht="15" customHeight="1">
      <c r="P143" s="53">
        <v>45586</v>
      </c>
      <c r="Q143" s="41">
        <v>23122.69921875</v>
      </c>
      <c r="R143" s="41">
        <v>1867.31921386718</v>
      </c>
      <c r="S143" s="41">
        <f t="shared" si="4"/>
        <v>-9.9973457929982794E-3</v>
      </c>
      <c r="T143" s="41">
        <f t="shared" si="4"/>
        <v>-6.9883072292371892E-3</v>
      </c>
    </row>
    <row r="144" spans="16:20" ht="15" customHeight="1">
      <c r="P144" s="53">
        <v>45587</v>
      </c>
      <c r="Q144" s="41">
        <v>22828.19921875</v>
      </c>
      <c r="R144" s="41">
        <v>1858.01721191406</v>
      </c>
      <c r="S144" s="41">
        <f t="shared" si="4"/>
        <v>-1.2736402321109314E-2</v>
      </c>
      <c r="T144" s="41">
        <f t="shared" si="4"/>
        <v>-4.9814739140694331E-3</v>
      </c>
    </row>
    <row r="145" spans="16:20" ht="15" customHeight="1">
      <c r="P145" s="53">
        <v>45588</v>
      </c>
      <c r="Q145" s="41">
        <v>22471.599609375</v>
      </c>
      <c r="R145" s="41">
        <v>1810.5712890625</v>
      </c>
      <c r="S145" s="41">
        <f t="shared" si="4"/>
        <v>-1.562101355248845E-2</v>
      </c>
      <c r="T145" s="41">
        <f t="shared" si="4"/>
        <v>-2.5535782202298858E-2</v>
      </c>
    </row>
    <row r="146" spans="16:20" ht="15" customHeight="1">
      <c r="P146" s="53">
        <v>45589</v>
      </c>
      <c r="Q146" s="41">
        <v>22570.80078125</v>
      </c>
      <c r="R146" s="41">
        <v>1819.97180175781</v>
      </c>
      <c r="S146" s="41">
        <f t="shared" si="4"/>
        <v>4.4145131454555618E-3</v>
      </c>
      <c r="T146" s="41">
        <f t="shared" si="4"/>
        <v>5.1920146707824539E-3</v>
      </c>
    </row>
    <row r="147" spans="16:20" ht="15" customHeight="1">
      <c r="P147" s="53">
        <v>45590</v>
      </c>
      <c r="Q147" s="41">
        <v>22574.55078125</v>
      </c>
      <c r="R147" s="41">
        <v>1831.2919921875</v>
      </c>
      <c r="S147" s="41">
        <f t="shared" si="4"/>
        <v>1.6614386154678205E-4</v>
      </c>
      <c r="T147" s="41">
        <f t="shared" si="4"/>
        <v>6.219981221003785E-3</v>
      </c>
    </row>
    <row r="148" spans="16:20" ht="15" customHeight="1">
      <c r="P148" s="53">
        <v>45593</v>
      </c>
      <c r="Q148" s="41">
        <v>22857.25</v>
      </c>
      <c r="R148" s="41">
        <v>1873.126953125</v>
      </c>
      <c r="S148" s="41">
        <f t="shared" si="4"/>
        <v>1.2522916690098865E-2</v>
      </c>
      <c r="T148" s="41">
        <f t="shared" si="4"/>
        <v>2.2844506018686647E-2</v>
      </c>
    </row>
    <row r="149" spans="16:20" ht="15" customHeight="1">
      <c r="P149" s="53">
        <v>45594</v>
      </c>
      <c r="Q149" s="41">
        <v>22601.400390625</v>
      </c>
      <c r="R149" s="41">
        <v>1842.31665039062</v>
      </c>
      <c r="S149" s="41">
        <f t="shared" si="4"/>
        <v>-1.1193367941244025E-2</v>
      </c>
      <c r="T149" s="41">
        <f t="shared" si="4"/>
        <v>-1.6448592917302347E-2</v>
      </c>
    </row>
    <row r="150" spans="16:20" ht="15" customHeight="1">
      <c r="P150" s="53">
        <v>45595</v>
      </c>
      <c r="Q150" s="41">
        <v>22374.94921875</v>
      </c>
      <c r="R150" s="41">
        <v>1823.12170410156</v>
      </c>
      <c r="S150" s="41">
        <f t="shared" si="4"/>
        <v>-1.0019342516888083E-2</v>
      </c>
      <c r="T150" s="41">
        <f t="shared" si="4"/>
        <v>-1.0418918096946126E-2</v>
      </c>
    </row>
    <row r="151" spans="16:20" ht="15" customHeight="1">
      <c r="P151" s="53">
        <v>45596</v>
      </c>
      <c r="Q151" s="41">
        <v>22735.55078125</v>
      </c>
      <c r="R151" s="41">
        <v>1819.97180175781</v>
      </c>
      <c r="S151" s="41">
        <f t="shared" si="4"/>
        <v>1.6116307526535936E-2</v>
      </c>
      <c r="T151" s="41">
        <f t="shared" si="4"/>
        <v>-1.7277520950266354E-3</v>
      </c>
    </row>
    <row r="152" spans="16:20" ht="15" customHeight="1">
      <c r="P152" s="53">
        <v>45597</v>
      </c>
      <c r="Q152" s="41">
        <v>22807.150390625</v>
      </c>
      <c r="R152" s="41">
        <v>1829.3232421875</v>
      </c>
      <c r="S152" s="41">
        <f t="shared" si="4"/>
        <v>3.1492357525839299E-3</v>
      </c>
      <c r="T152" s="41">
        <f t="shared" si="4"/>
        <v>5.1382336916747625E-3</v>
      </c>
    </row>
    <row r="153" spans="16:20" ht="15" customHeight="1">
      <c r="P153" s="53">
        <v>45600</v>
      </c>
      <c r="Q153" s="41">
        <v>22638.30078125</v>
      </c>
      <c r="R153" s="41">
        <v>1780.59777832031</v>
      </c>
      <c r="S153" s="41">
        <f t="shared" si="4"/>
        <v>-7.4033628262655084E-3</v>
      </c>
      <c r="T153" s="41">
        <f t="shared" si="4"/>
        <v>-2.6635786799999447E-2</v>
      </c>
    </row>
    <row r="154" spans="16:20" ht="15" customHeight="1">
      <c r="P154" s="53">
        <v>45601</v>
      </c>
      <c r="Q154" s="41">
        <v>22661.25</v>
      </c>
      <c r="R154" s="41">
        <v>1775.38049316406</v>
      </c>
      <c r="S154" s="41">
        <f t="shared" si="4"/>
        <v>1.0137341566292606E-3</v>
      </c>
      <c r="T154" s="41">
        <f t="shared" si="4"/>
        <v>-2.9300750679199529E-3</v>
      </c>
    </row>
    <row r="155" spans="16:20" ht="15" customHeight="1">
      <c r="P155" s="53">
        <v>45602</v>
      </c>
      <c r="Q155" s="41">
        <v>22920.349609375</v>
      </c>
      <c r="R155" s="41">
        <v>1798.857421875</v>
      </c>
      <c r="S155" s="41">
        <f t="shared" si="4"/>
        <v>1.1433597412984721E-2</v>
      </c>
      <c r="T155" s="41">
        <f t="shared" si="4"/>
        <v>1.3223604067598899E-2</v>
      </c>
    </row>
    <row r="156" spans="16:20" ht="15" customHeight="1">
      <c r="P156" s="53">
        <v>45603</v>
      </c>
      <c r="Q156" s="41">
        <v>22526.94921875</v>
      </c>
      <c r="R156" s="41">
        <v>1762.92846679687</v>
      </c>
      <c r="S156" s="41">
        <f t="shared" si="4"/>
        <v>-1.716380410114204E-2</v>
      </c>
      <c r="T156" s="41">
        <f t="shared" si="4"/>
        <v>-1.9973208905395202E-2</v>
      </c>
    </row>
    <row r="157" spans="16:20" ht="15" customHeight="1">
      <c r="P157" s="53">
        <v>45604</v>
      </c>
      <c r="Q157" s="41">
        <v>22542.25</v>
      </c>
      <c r="R157" s="41">
        <v>1781.28674316406</v>
      </c>
      <c r="S157" s="41">
        <f t="shared" si="4"/>
        <v>6.7922118975900217E-4</v>
      </c>
      <c r="T157" s="41">
        <f t="shared" si="4"/>
        <v>1.0413511786184855E-2</v>
      </c>
    </row>
    <row r="158" spans="16:20" ht="15" customHeight="1">
      <c r="P158" s="53">
        <v>45607</v>
      </c>
      <c r="Q158" s="41">
        <v>22344.25</v>
      </c>
      <c r="R158" s="41">
        <v>1766.52136230468</v>
      </c>
      <c r="S158" s="41">
        <f t="shared" si="4"/>
        <v>-8.783506526633322E-3</v>
      </c>
      <c r="T158" s="41">
        <f t="shared" si="4"/>
        <v>-8.2891656360461006E-3</v>
      </c>
    </row>
    <row r="159" spans="16:20" ht="15" customHeight="1">
      <c r="P159" s="53">
        <v>45608</v>
      </c>
      <c r="Q159" s="41">
        <v>22151.599609375</v>
      </c>
      <c r="R159" s="41">
        <v>1772.67358398437</v>
      </c>
      <c r="S159" s="41">
        <f t="shared" si="4"/>
        <v>-8.6219224464907079E-3</v>
      </c>
      <c r="T159" s="41">
        <f t="shared" si="4"/>
        <v>3.4826760722913349E-3</v>
      </c>
    </row>
    <row r="160" spans="16:20" ht="15" customHeight="1">
      <c r="P160" s="53">
        <v>45609</v>
      </c>
      <c r="Q160" s="41">
        <v>21809.30078125</v>
      </c>
      <c r="R160" s="41">
        <v>1751.16552734375</v>
      </c>
      <c r="S160" s="41">
        <f t="shared" si="4"/>
        <v>-1.5452555759455507E-2</v>
      </c>
      <c r="T160" s="41">
        <f t="shared" si="4"/>
        <v>-1.213311736291414E-2</v>
      </c>
    </row>
    <row r="161" spans="16:20" ht="15" customHeight="1">
      <c r="P161" s="53">
        <v>45610</v>
      </c>
      <c r="Q161" s="41">
        <v>21752</v>
      </c>
      <c r="R161" s="41">
        <v>1740.53442382812</v>
      </c>
      <c r="S161" s="41">
        <f t="shared" si="4"/>
        <v>-2.627355265752624E-3</v>
      </c>
      <c r="T161" s="41">
        <f t="shared" si="4"/>
        <v>-6.0708729983714096E-3</v>
      </c>
    </row>
    <row r="162" spans="16:20" ht="15" customHeight="1">
      <c r="P162" s="53">
        <v>45614</v>
      </c>
      <c r="Q162" s="41">
        <v>21544.150390625</v>
      </c>
      <c r="R162" s="41">
        <v>1720.40441894531</v>
      </c>
      <c r="S162" s="41">
        <f t="shared" si="4"/>
        <v>-9.5554252195200438E-3</v>
      </c>
      <c r="T162" s="41">
        <f t="shared" si="4"/>
        <v>-1.1565416120030651E-2</v>
      </c>
    </row>
    <row r="163" spans="16:20" ht="15" customHeight="1">
      <c r="P163" s="53">
        <v>45615</v>
      </c>
      <c r="Q163" s="41">
        <v>21768.849609375</v>
      </c>
      <c r="R163" s="41">
        <v>1749.44299316406</v>
      </c>
      <c r="S163" s="41">
        <f t="shared" si="4"/>
        <v>1.0429708977884712E-2</v>
      </c>
      <c r="T163" s="41">
        <f t="shared" si="4"/>
        <v>1.6878923292089676E-2</v>
      </c>
    </row>
    <row r="164" spans="16:20" ht="15" customHeight="1">
      <c r="P164" s="53">
        <v>45617</v>
      </c>
      <c r="Q164" s="41">
        <v>21740.099609375</v>
      </c>
      <c r="R164" s="41">
        <v>1752.14990234375</v>
      </c>
      <c r="S164" s="41">
        <f t="shared" si="4"/>
        <v>-1.3206945022771661E-3</v>
      </c>
      <c r="T164" s="41">
        <f t="shared" si="4"/>
        <v>1.5472977343458664E-3</v>
      </c>
    </row>
    <row r="165" spans="16:20" ht="15" customHeight="1">
      <c r="P165" s="53">
        <v>45618</v>
      </c>
      <c r="Q165" s="41">
        <v>21962.05078125</v>
      </c>
      <c r="R165" s="41">
        <v>1767.21057128906</v>
      </c>
      <c r="S165" s="41">
        <f t="shared" si="4"/>
        <v>1.0209298754973865E-2</v>
      </c>
      <c r="T165" s="41">
        <f t="shared" si="4"/>
        <v>8.5955367889266835E-3</v>
      </c>
    </row>
    <row r="166" spans="16:20" ht="15" customHeight="1">
      <c r="P166" s="53">
        <v>45621</v>
      </c>
      <c r="Q166" s="41">
        <v>22177.05078125</v>
      </c>
      <c r="R166" s="41">
        <v>1770.75415039062</v>
      </c>
      <c r="S166" s="41">
        <f t="shared" si="4"/>
        <v>9.7896140092506873E-3</v>
      </c>
      <c r="T166" s="41">
        <f t="shared" si="4"/>
        <v>2.005182154934258E-3</v>
      </c>
    </row>
    <row r="167" spans="16:20" ht="15" customHeight="1">
      <c r="P167" s="53">
        <v>45622</v>
      </c>
      <c r="Q167" s="41">
        <v>21961.75</v>
      </c>
      <c r="R167" s="41">
        <v>1734.03771972656</v>
      </c>
      <c r="S167" s="41">
        <f t="shared" si="4"/>
        <v>-9.7082692993619348E-3</v>
      </c>
      <c r="T167" s="41">
        <f t="shared" si="4"/>
        <v>-2.0734911538092697E-2</v>
      </c>
    </row>
    <row r="168" spans="16:20" ht="15" customHeight="1">
      <c r="P168" s="53">
        <v>45623</v>
      </c>
      <c r="Q168" s="41">
        <v>21828.599609375</v>
      </c>
      <c r="R168" s="41">
        <v>1722.07775878906</v>
      </c>
      <c r="S168" s="41">
        <f t="shared" si="4"/>
        <v>-6.0628315423406605E-3</v>
      </c>
      <c r="T168" s="41">
        <f t="shared" si="4"/>
        <v>-6.8971746124334389E-3</v>
      </c>
    </row>
    <row r="169" spans="16:20" ht="15" customHeight="1">
      <c r="P169" s="53">
        <v>45624</v>
      </c>
      <c r="Q169" s="41">
        <v>21728.599609375</v>
      </c>
      <c r="R169" s="41">
        <v>1707.11560058593</v>
      </c>
      <c r="S169" s="41">
        <f t="shared" si="4"/>
        <v>-4.5811459181766181E-3</v>
      </c>
      <c r="T169" s="41">
        <f t="shared" si="4"/>
        <v>-8.6884335662352277E-3</v>
      </c>
    </row>
    <row r="170" spans="16:20" ht="15" customHeight="1">
      <c r="P170" s="53">
        <v>45625</v>
      </c>
      <c r="Q170" s="41">
        <v>22240.19921875</v>
      </c>
      <c r="R170" s="41">
        <v>1753.03588867187</v>
      </c>
      <c r="S170" s="41">
        <f t="shared" si="4"/>
        <v>2.3544987646339884E-2</v>
      </c>
      <c r="T170" s="41">
        <f t="shared" si="4"/>
        <v>2.6899343003003937E-2</v>
      </c>
    </row>
    <row r="171" spans="16:20" ht="15" customHeight="1">
      <c r="P171" s="53">
        <v>45628</v>
      </c>
      <c r="Q171" s="41">
        <v>22450.19921875</v>
      </c>
      <c r="R171" s="41">
        <v>1780.25329589843</v>
      </c>
      <c r="S171" s="41">
        <f t="shared" si="4"/>
        <v>9.4423614615356376E-3</v>
      </c>
      <c r="T171" s="41">
        <f t="shared" si="4"/>
        <v>1.552586995077458E-2</v>
      </c>
    </row>
    <row r="172" spans="16:20" ht="15" customHeight="1">
      <c r="P172" s="53">
        <v>45629</v>
      </c>
      <c r="Q172" s="41">
        <v>22445.69921875</v>
      </c>
      <c r="R172" s="41">
        <v>1771.88623046875</v>
      </c>
      <c r="S172" s="41">
        <f t="shared" si="4"/>
        <v>-2.0044365558420887E-4</v>
      </c>
      <c r="T172" s="41">
        <f t="shared" si="4"/>
        <v>-4.6999297509837997E-3</v>
      </c>
    </row>
    <row r="173" spans="16:20" ht="15" customHeight="1">
      <c r="P173" s="53">
        <v>45630</v>
      </c>
      <c r="Q173" s="41">
        <v>22422.900390625</v>
      </c>
      <c r="R173" s="41">
        <v>1772.03381347656</v>
      </c>
      <c r="S173" s="41">
        <f t="shared" si="4"/>
        <v>-1.0157325865774328E-3</v>
      </c>
      <c r="T173" s="41">
        <f t="shared" si="4"/>
        <v>8.3291469436475057E-5</v>
      </c>
    </row>
    <row r="174" spans="16:20" ht="15" customHeight="1">
      <c r="P174" s="53">
        <v>45631</v>
      </c>
      <c r="Q174" s="41">
        <v>22463.400390625</v>
      </c>
      <c r="R174" s="41">
        <v>1785.07653808593</v>
      </c>
      <c r="S174" s="41">
        <f t="shared" si="4"/>
        <v>1.8061891768886877E-3</v>
      </c>
      <c r="T174" s="41">
        <f t="shared" si="4"/>
        <v>7.3603136182720042E-3</v>
      </c>
    </row>
    <row r="175" spans="16:20" ht="15" customHeight="1">
      <c r="P175" s="53">
        <v>45632</v>
      </c>
      <c r="Q175" s="41">
        <v>22434.75</v>
      </c>
      <c r="R175" s="41">
        <v>1776.61096191406</v>
      </c>
      <c r="S175" s="41">
        <f t="shared" si="4"/>
        <v>-1.2754253642274531E-3</v>
      </c>
      <c r="T175" s="41">
        <f t="shared" si="4"/>
        <v>-4.742416356526267E-3</v>
      </c>
    </row>
    <row r="176" spans="16:20" ht="15" customHeight="1">
      <c r="P176" s="53">
        <v>45635</v>
      </c>
      <c r="Q176" s="41">
        <v>22309.099609375</v>
      </c>
      <c r="R176" s="41">
        <v>1778.38293457031</v>
      </c>
      <c r="S176" s="41">
        <f t="shared" si="4"/>
        <v>-5.6007038467110176E-3</v>
      </c>
      <c r="T176" s="41">
        <f t="shared" si="4"/>
        <v>9.9738923953330617E-4</v>
      </c>
    </row>
    <row r="177" spans="16:20" ht="15" customHeight="1">
      <c r="P177" s="53">
        <v>45636</v>
      </c>
      <c r="Q177" s="41">
        <v>22291.44921875</v>
      </c>
      <c r="R177" s="41">
        <v>1781.63122558593</v>
      </c>
      <c r="S177" s="41">
        <f t="shared" si="4"/>
        <v>-7.9117449534282141E-4</v>
      </c>
      <c r="T177" s="41">
        <f t="shared" si="4"/>
        <v>1.8265419401389186E-3</v>
      </c>
    </row>
    <row r="178" spans="16:20" ht="15" customHeight="1">
      <c r="P178" s="53">
        <v>45637</v>
      </c>
      <c r="Q178" s="41">
        <v>22302.599609375</v>
      </c>
      <c r="R178" s="41">
        <v>1785.61791992187</v>
      </c>
      <c r="S178" s="41">
        <f t="shared" si="4"/>
        <v>5.0020931863061977E-4</v>
      </c>
      <c r="T178" s="41">
        <f t="shared" si="4"/>
        <v>2.2376652803830859E-3</v>
      </c>
    </row>
    <row r="179" spans="16:20" ht="15" customHeight="1">
      <c r="P179" s="53">
        <v>45638</v>
      </c>
      <c r="Q179" s="41">
        <v>22229.30078125</v>
      </c>
      <c r="R179" s="41">
        <v>1777.20166015625</v>
      </c>
      <c r="S179" s="41">
        <f t="shared" si="4"/>
        <v>-3.2865598364680546E-3</v>
      </c>
      <c r="T179" s="41">
        <f t="shared" si="4"/>
        <v>-4.7133598244736771E-3</v>
      </c>
    </row>
    <row r="180" spans="16:20" ht="15" customHeight="1">
      <c r="P180" s="53">
        <v>45639</v>
      </c>
      <c r="Q180" s="41">
        <v>22157.349609375</v>
      </c>
      <c r="R180" s="41">
        <v>1785.07653808593</v>
      </c>
      <c r="S180" s="41">
        <f t="shared" si="4"/>
        <v>-3.2367717087929942E-3</v>
      </c>
      <c r="T180" s="41">
        <f t="shared" si="4"/>
        <v>4.4310547903650081E-3</v>
      </c>
    </row>
    <row r="181" spans="16:20" ht="15" customHeight="1">
      <c r="P181" s="53">
        <v>45642</v>
      </c>
      <c r="Q181" s="41">
        <v>22255.55078125</v>
      </c>
      <c r="R181" s="41">
        <v>1781.48376464843</v>
      </c>
      <c r="S181" s="41">
        <f t="shared" si="4"/>
        <v>4.4319909017209386E-3</v>
      </c>
      <c r="T181" s="41">
        <f t="shared" si="4"/>
        <v>-2.0126719279792869E-3</v>
      </c>
    </row>
    <row r="182" spans="16:20" ht="15" customHeight="1">
      <c r="P182" s="53">
        <v>45643</v>
      </c>
      <c r="Q182" s="41">
        <v>22074.55078125</v>
      </c>
      <c r="R182" s="41">
        <v>1761.05847167968</v>
      </c>
      <c r="S182" s="41">
        <f t="shared" si="4"/>
        <v>-8.1328025434665961E-3</v>
      </c>
      <c r="T182" s="41">
        <f t="shared" si="4"/>
        <v>-1.1465326473396665E-2</v>
      </c>
    </row>
    <row r="183" spans="16:20" ht="15" customHeight="1">
      <c r="P183" s="53">
        <v>45644</v>
      </c>
      <c r="Q183" s="41">
        <v>22314.55078125</v>
      </c>
      <c r="R183" s="41">
        <v>1772.87048339843</v>
      </c>
      <c r="S183" s="41">
        <f t="shared" si="4"/>
        <v>1.0872248426629576E-2</v>
      </c>
      <c r="T183" s="41">
        <f t="shared" si="4"/>
        <v>6.7073364733221041E-3</v>
      </c>
    </row>
    <row r="184" spans="16:20" ht="15" customHeight="1">
      <c r="P184" s="53">
        <v>45645</v>
      </c>
      <c r="Q184" s="41">
        <v>22697.900390625</v>
      </c>
      <c r="R184" s="41">
        <v>1794.77258300781</v>
      </c>
      <c r="S184" s="41">
        <f t="shared" si="4"/>
        <v>1.7179355889033309E-2</v>
      </c>
      <c r="T184" s="41">
        <f t="shared" si="4"/>
        <v>1.2354032522102622E-2</v>
      </c>
    </row>
    <row r="185" spans="16:20" ht="15" customHeight="1">
      <c r="P185" s="53">
        <v>45646</v>
      </c>
      <c r="Q185" s="41">
        <v>22501.849609375</v>
      </c>
      <c r="R185" s="41">
        <v>1780.54846191406</v>
      </c>
      <c r="S185" s="41">
        <f t="shared" si="4"/>
        <v>-8.6373971986843153E-3</v>
      </c>
      <c r="T185" s="41">
        <f t="shared" si="4"/>
        <v>-7.925305539218894E-3</v>
      </c>
    </row>
    <row r="186" spans="16:20" ht="15" customHeight="1">
      <c r="P186" s="53">
        <v>45649</v>
      </c>
      <c r="Q186" s="41">
        <v>22572.05078125</v>
      </c>
      <c r="R186" s="41">
        <v>1786.20849609375</v>
      </c>
      <c r="S186" s="41">
        <f t="shared" si="4"/>
        <v>3.1197956209676166E-3</v>
      </c>
      <c r="T186" s="41">
        <f t="shared" si="4"/>
        <v>3.1788150116428501E-3</v>
      </c>
    </row>
    <row r="187" spans="16:20" ht="15" customHeight="1">
      <c r="P187" s="53">
        <v>45650</v>
      </c>
      <c r="Q187" s="41">
        <v>22558.900390625</v>
      </c>
      <c r="R187" s="41">
        <v>1790.53967285156</v>
      </c>
      <c r="S187" s="41">
        <f t="shared" si="4"/>
        <v>-5.8259618288311133E-4</v>
      </c>
      <c r="T187" s="41">
        <f t="shared" si="4"/>
        <v>2.4247879053771308E-3</v>
      </c>
    </row>
    <row r="188" spans="16:20" ht="15" customHeight="1">
      <c r="P188" s="53">
        <v>45652</v>
      </c>
      <c r="Q188" s="41">
        <v>22712.55078125</v>
      </c>
      <c r="R188" s="41">
        <v>1812.53991699218</v>
      </c>
      <c r="S188" s="41">
        <f t="shared" si="4"/>
        <v>6.8110762477081484E-3</v>
      </c>
      <c r="T188" s="41">
        <f t="shared" si="4"/>
        <v>1.228693475726403E-2</v>
      </c>
    </row>
    <row r="189" spans="16:20" ht="15" customHeight="1">
      <c r="P189" s="53">
        <v>45653</v>
      </c>
      <c r="Q189" s="41">
        <v>23008.349609375</v>
      </c>
      <c r="R189" s="41">
        <v>1832.12854003906</v>
      </c>
      <c r="S189" s="41">
        <f t="shared" si="4"/>
        <v>1.3023584667962183E-2</v>
      </c>
      <c r="T189" s="41">
        <f t="shared" si="4"/>
        <v>1.0807278153292398E-2</v>
      </c>
    </row>
    <row r="190" spans="16:20" ht="15" customHeight="1">
      <c r="P190" s="53">
        <v>45656</v>
      </c>
      <c r="Q190" s="41">
        <v>23241.150390625</v>
      </c>
      <c r="R190" s="41">
        <v>1854.42431640625</v>
      </c>
      <c r="S190" s="41">
        <f t="shared" si="4"/>
        <v>1.0118099959466142E-2</v>
      </c>
      <c r="T190" s="41">
        <f t="shared" si="4"/>
        <v>1.2169329760407896E-2</v>
      </c>
    </row>
    <row r="191" spans="16:20" ht="15" customHeight="1">
      <c r="P191" s="53">
        <v>45657</v>
      </c>
      <c r="Q191" s="41">
        <v>23412.25</v>
      </c>
      <c r="R191" s="41">
        <v>1856.83581542968</v>
      </c>
      <c r="S191" s="41">
        <f t="shared" si="4"/>
        <v>7.3619251413655513E-3</v>
      </c>
      <c r="T191" s="41">
        <f t="shared" si="4"/>
        <v>1.3004030426560197E-3</v>
      </c>
    </row>
    <row r="192" spans="16:20" ht="15" customHeight="1">
      <c r="P192" s="53">
        <v>45658</v>
      </c>
      <c r="Q192" s="41">
        <v>23459.75</v>
      </c>
      <c r="R192" s="41">
        <v>1860.37951660156</v>
      </c>
      <c r="S192" s="41">
        <f t="shared" si="4"/>
        <v>2.0288524170039191E-3</v>
      </c>
      <c r="T192" s="41">
        <f t="shared" si="4"/>
        <v>1.9084623112248479E-3</v>
      </c>
    </row>
    <row r="193" spans="16:20" ht="15" customHeight="1">
      <c r="P193" s="53">
        <v>45659</v>
      </c>
      <c r="Q193" s="41">
        <v>23553.400390625</v>
      </c>
      <c r="R193" s="41">
        <v>1848.61669921875</v>
      </c>
      <c r="S193" s="41">
        <f t="shared" si="4"/>
        <v>3.9919602990227945E-3</v>
      </c>
      <c r="T193" s="41">
        <f t="shared" si="4"/>
        <v>-6.3228052544341455E-3</v>
      </c>
    </row>
    <row r="194" spans="16:20" ht="15" customHeight="1">
      <c r="P194" s="53">
        <v>45660</v>
      </c>
      <c r="Q194" s="41">
        <v>23263.5</v>
      </c>
      <c r="R194" s="41">
        <v>1820.71020507812</v>
      </c>
      <c r="S194" s="41">
        <f t="shared" si="4"/>
        <v>-1.2308218168803751E-2</v>
      </c>
      <c r="T194" s="41">
        <f t="shared" si="4"/>
        <v>-1.509587907132055E-2</v>
      </c>
    </row>
    <row r="195" spans="16:20" ht="15" customHeight="1">
      <c r="P195" s="53">
        <v>45663</v>
      </c>
      <c r="Q195" s="41">
        <v>23073.05078125</v>
      </c>
      <c r="R195" s="41">
        <v>1818.49536132812</v>
      </c>
      <c r="S195" s="41">
        <f t="shared" si="4"/>
        <v>-8.1866107314032717E-3</v>
      </c>
      <c r="T195" s="41">
        <f t="shared" si="4"/>
        <v>-1.2164724203899155E-3</v>
      </c>
    </row>
    <row r="196" spans="16:20" ht="15" customHeight="1">
      <c r="P196" s="53">
        <v>45664</v>
      </c>
      <c r="Q196" s="41">
        <v>23228.55078125</v>
      </c>
      <c r="R196" s="41">
        <v>1824.40161132812</v>
      </c>
      <c r="S196" s="41">
        <f t="shared" si="4"/>
        <v>6.739464211917956E-3</v>
      </c>
      <c r="T196" s="41">
        <f t="shared" si="4"/>
        <v>3.2478774076643391E-3</v>
      </c>
    </row>
    <row r="197" spans="16:20" ht="15" customHeight="1">
      <c r="P197" s="53">
        <v>45665</v>
      </c>
      <c r="Q197" s="41">
        <v>23011.099609375</v>
      </c>
      <c r="R197" s="41">
        <v>1808.99633789062</v>
      </c>
      <c r="S197" s="41">
        <f t="shared" si="4"/>
        <v>-9.3613748839865545E-3</v>
      </c>
      <c r="T197" s="41">
        <f t="shared" si="4"/>
        <v>-8.4440143781090698E-3</v>
      </c>
    </row>
    <row r="198" spans="16:20" ht="15" customHeight="1">
      <c r="P198" s="53">
        <v>45666</v>
      </c>
      <c r="Q198" s="41">
        <v>22868.099609375</v>
      </c>
      <c r="R198" s="41">
        <v>1797.77478027343</v>
      </c>
      <c r="S198" s="41">
        <f t="shared" si="4"/>
        <v>-6.2143922901337608E-3</v>
      </c>
      <c r="T198" s="41">
        <f t="shared" si="4"/>
        <v>-6.203195320049623E-3</v>
      </c>
    </row>
    <row r="199" spans="16:20" ht="15" customHeight="1">
      <c r="P199" s="53">
        <v>45667</v>
      </c>
      <c r="Q199" s="41">
        <v>22380.849609375</v>
      </c>
      <c r="R199" s="41">
        <v>1756.87487792968</v>
      </c>
      <c r="S199" s="41">
        <f t="shared" si="4"/>
        <v>-2.1306973833551394E-2</v>
      </c>
      <c r="T199" s="41">
        <f t="shared" si="4"/>
        <v>-2.2750292635393066E-2</v>
      </c>
    </row>
    <row r="200" spans="16:20" ht="15" customHeight="1">
      <c r="P200" s="53">
        <v>45670</v>
      </c>
      <c r="Q200" s="41">
        <v>21903.349609375</v>
      </c>
      <c r="R200" s="41">
        <v>1719.56787109375</v>
      </c>
      <c r="S200" s="41">
        <f t="shared" ref="S200:T252" si="5">(Q200-Q199)/Q199</f>
        <v>-2.1335204352563204E-2</v>
      </c>
      <c r="T200" s="41">
        <f t="shared" si="5"/>
        <v>-2.1234868404455171E-2</v>
      </c>
    </row>
    <row r="201" spans="16:20" ht="15" customHeight="1">
      <c r="P201" s="53">
        <v>45671</v>
      </c>
      <c r="Q201" s="41">
        <v>22203.900390625</v>
      </c>
      <c r="R201" s="41">
        <v>1743.14306640625</v>
      </c>
      <c r="S201" s="41">
        <f t="shared" si="5"/>
        <v>1.3721681231867807E-2</v>
      </c>
      <c r="T201" s="41">
        <f t="shared" si="5"/>
        <v>1.3709953360261807E-2</v>
      </c>
    </row>
    <row r="202" spans="16:20" ht="15" customHeight="1">
      <c r="P202" s="53">
        <v>45672</v>
      </c>
      <c r="Q202" s="41">
        <v>21972.69921875</v>
      </c>
      <c r="R202" s="41">
        <v>1729.36206054687</v>
      </c>
      <c r="S202" s="41">
        <f t="shared" si="5"/>
        <v>-1.0412637771182691E-2</v>
      </c>
      <c r="T202" s="41">
        <f t="shared" si="5"/>
        <v>-7.9058375212951431E-3</v>
      </c>
    </row>
    <row r="203" spans="16:20" ht="15" customHeight="1">
      <c r="P203" s="53">
        <v>45673</v>
      </c>
      <c r="Q203" s="41">
        <v>21909.75</v>
      </c>
      <c r="R203" s="41">
        <v>1735.71118164062</v>
      </c>
      <c r="S203" s="41">
        <f t="shared" si="5"/>
        <v>-2.8648832864504622E-3</v>
      </c>
      <c r="T203" s="41">
        <f t="shared" si="5"/>
        <v>3.6713660132813601E-3</v>
      </c>
    </row>
    <row r="204" spans="16:20" ht="15" customHeight="1">
      <c r="P204" s="53">
        <v>45674</v>
      </c>
      <c r="Q204" s="41">
        <v>22061.69921875</v>
      </c>
      <c r="R204" s="41">
        <v>1758.59741210937</v>
      </c>
      <c r="S204" s="41">
        <f t="shared" si="5"/>
        <v>6.9352328871849292E-3</v>
      </c>
      <c r="T204" s="41">
        <f t="shared" si="5"/>
        <v>1.3185506154956953E-2</v>
      </c>
    </row>
    <row r="205" spans="16:20" ht="15" customHeight="1">
      <c r="P205" s="53">
        <v>45677</v>
      </c>
      <c r="Q205" s="41">
        <v>22182.400390625</v>
      </c>
      <c r="R205" s="41">
        <v>1750.42724609375</v>
      </c>
      <c r="S205" s="41">
        <f t="shared" si="5"/>
        <v>5.4710732241520805E-3</v>
      </c>
      <c r="T205" s="41">
        <f t="shared" si="5"/>
        <v>-4.6458421690841667E-3</v>
      </c>
    </row>
    <row r="206" spans="16:20" ht="15" customHeight="1">
      <c r="P206" s="53">
        <v>45678</v>
      </c>
      <c r="Q206" s="41">
        <v>21882.900390625</v>
      </c>
      <c r="R206" s="41">
        <v>1735.12048339843</v>
      </c>
      <c r="S206" s="41">
        <f t="shared" si="5"/>
        <v>-1.3501694799746666E-2</v>
      </c>
      <c r="T206" s="41">
        <f t="shared" si="5"/>
        <v>-8.7445866313373179E-3</v>
      </c>
    </row>
    <row r="207" spans="16:20" ht="15" customHeight="1">
      <c r="P207" s="53">
        <v>45679</v>
      </c>
      <c r="Q207" s="41">
        <v>22034.94921875</v>
      </c>
      <c r="R207" s="41">
        <v>1770.80334472656</v>
      </c>
      <c r="S207" s="41">
        <f t="shared" si="5"/>
        <v>6.9482941205609222E-3</v>
      </c>
      <c r="T207" s="41">
        <f t="shared" si="5"/>
        <v>2.0565062581845081E-2</v>
      </c>
    </row>
    <row r="208" spans="16:20" ht="15" customHeight="1">
      <c r="P208" s="53">
        <v>45680</v>
      </c>
      <c r="Q208" s="41">
        <v>22343.30078125</v>
      </c>
      <c r="R208" s="41">
        <v>1804.9111328125</v>
      </c>
      <c r="S208" s="41">
        <f t="shared" si="5"/>
        <v>1.3993749631045993E-2</v>
      </c>
      <c r="T208" s="41">
        <f t="shared" si="5"/>
        <v>1.926119474955407E-2</v>
      </c>
    </row>
    <row r="209" spans="16:20" ht="15" customHeight="1">
      <c r="P209" s="53">
        <v>45681</v>
      </c>
      <c r="Q209" s="41">
        <v>21872.400390625</v>
      </c>
      <c r="R209" s="41">
        <v>1793.68957519531</v>
      </c>
      <c r="S209" s="41">
        <f t="shared" si="5"/>
        <v>-2.1075685962217771E-2</v>
      </c>
      <c r="T209" s="41">
        <f t="shared" si="5"/>
        <v>-6.2172355265513969E-3</v>
      </c>
    </row>
    <row r="210" spans="16:20" ht="15" customHeight="1">
      <c r="P210" s="53">
        <v>45684</v>
      </c>
      <c r="Q210" s="41">
        <v>21292.30078125</v>
      </c>
      <c r="R210" s="41">
        <v>1758.89270019531</v>
      </c>
      <c r="S210" s="41">
        <f t="shared" si="5"/>
        <v>-2.6521991140197106E-2</v>
      </c>
      <c r="T210" s="41">
        <f t="shared" si="5"/>
        <v>-1.939960820489859E-2</v>
      </c>
    </row>
    <row r="211" spans="16:20" ht="15" customHeight="1">
      <c r="P211" s="53">
        <v>45685</v>
      </c>
      <c r="Q211" s="41">
        <v>20796.599609375</v>
      </c>
      <c r="R211" s="41">
        <v>1678.81555175781</v>
      </c>
      <c r="S211" s="41">
        <f t="shared" si="5"/>
        <v>-2.3280770686440539E-2</v>
      </c>
      <c r="T211" s="41">
        <f t="shared" si="5"/>
        <v>-4.5527023012039404E-2</v>
      </c>
    </row>
    <row r="212" spans="16:20" ht="15" customHeight="1">
      <c r="P212" s="53">
        <v>45686</v>
      </c>
      <c r="Q212" s="41">
        <v>21163.900390625</v>
      </c>
      <c r="R212" s="41">
        <v>1708.19848632812</v>
      </c>
      <c r="S212" s="41">
        <f t="shared" si="5"/>
        <v>1.7661578726765634E-2</v>
      </c>
      <c r="T212" s="41">
        <f t="shared" si="5"/>
        <v>1.7502181546712795E-2</v>
      </c>
    </row>
    <row r="213" spans="16:20" ht="15" customHeight="1">
      <c r="P213" s="53">
        <v>45687</v>
      </c>
      <c r="Q213" s="41">
        <v>21419.650390625</v>
      </c>
      <c r="R213" s="41">
        <v>1711.88989257812</v>
      </c>
      <c r="S213" s="41">
        <f t="shared" si="5"/>
        <v>1.2084256459328731E-2</v>
      </c>
      <c r="T213" s="41">
        <f t="shared" si="5"/>
        <v>2.1609937484108827E-3</v>
      </c>
    </row>
    <row r="214" spans="16:20" ht="15" customHeight="1">
      <c r="P214" s="53">
        <v>45688</v>
      </c>
      <c r="Q214" s="41">
        <v>21438.599609375</v>
      </c>
      <c r="R214" s="41">
        <v>1716.66394042968</v>
      </c>
      <c r="S214" s="41">
        <f t="shared" si="5"/>
        <v>8.8466517447426389E-4</v>
      </c>
      <c r="T214" s="41">
        <f t="shared" si="5"/>
        <v>2.7887587117943926E-3</v>
      </c>
    </row>
    <row r="215" spans="16:20" ht="15" customHeight="1">
      <c r="P215" s="53">
        <v>45691</v>
      </c>
      <c r="Q215" s="41">
        <v>21361.599609375</v>
      </c>
      <c r="R215" s="41">
        <v>1713.36633300781</v>
      </c>
      <c r="S215" s="41">
        <f t="shared" si="5"/>
        <v>-3.5916525054336223E-3</v>
      </c>
      <c r="T215" s="41">
        <f t="shared" si="5"/>
        <v>-1.9209394128967424E-3</v>
      </c>
    </row>
    <row r="216" spans="16:20" ht="15" customHeight="1">
      <c r="P216" s="53">
        <v>45692</v>
      </c>
      <c r="Q216" s="41">
        <v>21733.94921875</v>
      </c>
      <c r="R216" s="41">
        <v>1737.63061523437</v>
      </c>
      <c r="S216" s="41">
        <f t="shared" si="5"/>
        <v>1.7430792458612804E-2</v>
      </c>
      <c r="T216" s="41">
        <f t="shared" si="5"/>
        <v>1.4161759665234063E-2</v>
      </c>
    </row>
    <row r="217" spans="16:20" ht="15" customHeight="1">
      <c r="P217" s="53">
        <v>45693</v>
      </c>
      <c r="Q217" s="41">
        <v>21868.5</v>
      </c>
      <c r="R217" s="41">
        <v>1725.326171875</v>
      </c>
      <c r="S217" s="41">
        <f t="shared" si="5"/>
        <v>6.1908114303461373E-3</v>
      </c>
      <c r="T217" s="41">
        <f t="shared" si="5"/>
        <v>-7.0811616988633603E-3</v>
      </c>
    </row>
    <row r="218" spans="16:20" ht="15" customHeight="1">
      <c r="P218" s="53">
        <v>45694</v>
      </c>
      <c r="Q218" s="41">
        <v>22009.05078125</v>
      </c>
      <c r="R218" s="41">
        <v>1725.07861328125</v>
      </c>
      <c r="S218" s="41">
        <f t="shared" si="5"/>
        <v>6.427088334819489E-3</v>
      </c>
      <c r="T218" s="41">
        <f t="shared" si="5"/>
        <v>-1.4348509736044021E-4</v>
      </c>
    </row>
    <row r="219" spans="16:20" ht="15" customHeight="1">
      <c r="P219" s="53">
        <v>45695</v>
      </c>
      <c r="Q219" s="41">
        <v>22077</v>
      </c>
      <c r="R219" s="41">
        <v>1732.80297851562</v>
      </c>
      <c r="S219" s="41">
        <f t="shared" si="5"/>
        <v>3.0873307270428696E-3</v>
      </c>
      <c r="T219" s="41">
        <f t="shared" si="5"/>
        <v>4.4776888281500291E-3</v>
      </c>
    </row>
    <row r="220" spans="16:20" ht="15" customHeight="1">
      <c r="P220" s="53">
        <v>45698</v>
      </c>
      <c r="Q220" s="41">
        <v>21665.650390625</v>
      </c>
      <c r="R220" s="41">
        <v>1715.27478027343</v>
      </c>
      <c r="S220" s="41">
        <f t="shared" si="5"/>
        <v>-1.8632495781809123E-2</v>
      </c>
      <c r="T220" s="41">
        <f t="shared" si="5"/>
        <v>-1.011551714737083E-2</v>
      </c>
    </row>
    <row r="221" spans="16:20" ht="15" customHeight="1">
      <c r="P221" s="53">
        <v>45699</v>
      </c>
      <c r="Q221" s="41">
        <v>21249.5</v>
      </c>
      <c r="R221" s="41">
        <v>1683.23901367187</v>
      </c>
      <c r="S221" s="41">
        <f t="shared" si="5"/>
        <v>-1.9207842050524063E-2</v>
      </c>
      <c r="T221" s="41">
        <f t="shared" si="5"/>
        <v>-1.8676754867493133E-2</v>
      </c>
    </row>
    <row r="222" spans="16:20" ht="15" customHeight="1">
      <c r="P222" s="53">
        <v>45700</v>
      </c>
      <c r="Q222" s="41">
        <v>21142.05078125</v>
      </c>
      <c r="R222" s="41">
        <v>1677.39636230468</v>
      </c>
      <c r="S222" s="41">
        <f t="shared" si="5"/>
        <v>-5.0565528012423821E-3</v>
      </c>
      <c r="T222" s="41">
        <f t="shared" si="5"/>
        <v>-3.4710764898709537E-3</v>
      </c>
    </row>
    <row r="223" spans="16:20" ht="15" customHeight="1">
      <c r="P223" s="53">
        <v>45701</v>
      </c>
      <c r="Q223" s="41">
        <v>21427.099609375</v>
      </c>
      <c r="R223" s="41">
        <v>1729.38635253906</v>
      </c>
      <c r="S223" s="41">
        <f t="shared" si="5"/>
        <v>1.3482553375465254E-2</v>
      </c>
      <c r="T223" s="41">
        <f t="shared" si="5"/>
        <v>3.0994457483470215E-2</v>
      </c>
    </row>
    <row r="224" spans="16:20" ht="15" customHeight="1">
      <c r="P224" s="53">
        <v>45702</v>
      </c>
      <c r="Q224" s="41">
        <v>20811.55078125</v>
      </c>
      <c r="R224" s="41">
        <v>1683.98168945312</v>
      </c>
      <c r="S224" s="41">
        <f t="shared" si="5"/>
        <v>-2.872758513035889E-2</v>
      </c>
      <c r="T224" s="41">
        <f t="shared" si="5"/>
        <v>-2.6254782813150763E-2</v>
      </c>
    </row>
    <row r="225" spans="16:20" ht="15" customHeight="1">
      <c r="P225" s="53">
        <v>45705</v>
      </c>
      <c r="Q225" s="41">
        <v>21076</v>
      </c>
      <c r="R225" s="41">
        <v>1697.54858398437</v>
      </c>
      <c r="S225" s="41">
        <f t="shared" si="5"/>
        <v>1.2706848304079935E-2</v>
      </c>
      <c r="T225" s="41">
        <f t="shared" si="5"/>
        <v>8.0564382714018133E-3</v>
      </c>
    </row>
    <row r="226" spans="16:20" ht="15" customHeight="1">
      <c r="P226" s="53">
        <v>45706</v>
      </c>
      <c r="Q226" s="41">
        <v>20969.19921875</v>
      </c>
      <c r="R226" s="41">
        <v>1685.07104492187</v>
      </c>
      <c r="S226" s="41">
        <f t="shared" si="5"/>
        <v>-5.0674122817422661E-3</v>
      </c>
      <c r="T226" s="41">
        <f t="shared" si="5"/>
        <v>-7.3503281026652996E-3</v>
      </c>
    </row>
    <row r="227" spans="16:20" ht="15" customHeight="1">
      <c r="P227" s="53">
        <v>45707</v>
      </c>
      <c r="Q227" s="41">
        <v>20820</v>
      </c>
      <c r="R227" s="41">
        <v>1660.31384277343</v>
      </c>
      <c r="S227" s="41">
        <f t="shared" si="5"/>
        <v>-7.1151605358678047E-3</v>
      </c>
      <c r="T227" s="41">
        <f t="shared" si="5"/>
        <v>-1.4692082107189667E-2</v>
      </c>
    </row>
    <row r="228" spans="16:20" ht="15" customHeight="1">
      <c r="P228" s="53">
        <v>45708</v>
      </c>
      <c r="Q228" s="41">
        <v>20785.75</v>
      </c>
      <c r="R228" s="41">
        <v>1653.08483886718</v>
      </c>
      <c r="S228" s="41">
        <f t="shared" si="5"/>
        <v>-1.6450528338136407E-3</v>
      </c>
      <c r="T228" s="41">
        <f t="shared" si="5"/>
        <v>-4.3539984549996226E-3</v>
      </c>
    </row>
    <row r="229" spans="16:20" ht="15" customHeight="1">
      <c r="P229" s="53">
        <v>45709</v>
      </c>
      <c r="Q229" s="41">
        <v>20385.650390625</v>
      </c>
      <c r="R229" s="41">
        <v>1627.78308105468</v>
      </c>
      <c r="S229" s="41">
        <f t="shared" si="5"/>
        <v>-1.9248745384458102E-2</v>
      </c>
      <c r="T229" s="41">
        <f t="shared" si="5"/>
        <v>-1.5305782992867261E-2</v>
      </c>
    </row>
    <row r="230" spans="16:20" ht="15" customHeight="1">
      <c r="P230" s="53">
        <v>45712</v>
      </c>
      <c r="Q230" s="41">
        <v>20389.69921875</v>
      </c>
      <c r="R230" s="41">
        <v>1623.57421875</v>
      </c>
      <c r="S230" s="41">
        <f t="shared" si="5"/>
        <v>1.9861167279028706E-4</v>
      </c>
      <c r="T230" s="41">
        <f t="shared" si="5"/>
        <v>-2.5856407734333822E-3</v>
      </c>
    </row>
    <row r="231" spans="16:20" ht="15" customHeight="1">
      <c r="P231" s="53">
        <v>45713</v>
      </c>
      <c r="Q231" s="41">
        <v>20249.150390625</v>
      </c>
      <c r="R231" s="41">
        <v>1597.92590332031</v>
      </c>
      <c r="S231" s="41">
        <f t="shared" si="5"/>
        <v>-6.893129055859433E-3</v>
      </c>
      <c r="T231" s="41">
        <f t="shared" si="5"/>
        <v>-1.5797439460104756E-2</v>
      </c>
    </row>
    <row r="232" spans="16:20" ht="15" customHeight="1">
      <c r="P232" s="53">
        <v>45715</v>
      </c>
      <c r="Q232" s="41">
        <v>20201.25</v>
      </c>
      <c r="R232" s="41">
        <v>1631.49658203125</v>
      </c>
      <c r="S232" s="41">
        <f t="shared" si="5"/>
        <v>-2.3655506379752621E-3</v>
      </c>
      <c r="T232" s="41">
        <f t="shared" si="5"/>
        <v>2.1008908261130201E-2</v>
      </c>
    </row>
    <row r="233" spans="16:20" ht="15" customHeight="1">
      <c r="P233" s="53">
        <v>45716</v>
      </c>
      <c r="Q233" s="41">
        <v>19813.5</v>
      </c>
      <c r="R233" s="41">
        <v>1577.77355957031</v>
      </c>
      <c r="S233" s="41">
        <f t="shared" si="5"/>
        <v>-1.9194356784852422E-2</v>
      </c>
      <c r="T233" s="41">
        <f t="shared" si="5"/>
        <v>-3.2928676071177318E-2</v>
      </c>
    </row>
    <row r="234" spans="16:20" ht="15" customHeight="1">
      <c r="P234" s="53">
        <v>45719</v>
      </c>
      <c r="Q234" s="41">
        <v>19879.80078125</v>
      </c>
      <c r="R234" s="41">
        <v>1569.70275878906</v>
      </c>
      <c r="S234" s="41">
        <f t="shared" si="5"/>
        <v>3.3462427763898354E-3</v>
      </c>
      <c r="T234" s="41">
        <f t="shared" si="5"/>
        <v>-5.1153099456477122E-3</v>
      </c>
    </row>
    <row r="235" spans="16:20" ht="15" customHeight="1">
      <c r="P235" s="53">
        <v>45720</v>
      </c>
      <c r="Q235" s="41">
        <v>19820.650390625</v>
      </c>
      <c r="R235" s="41">
        <v>1551.28344726562</v>
      </c>
      <c r="S235" s="41">
        <f t="shared" si="5"/>
        <v>-2.9754015785102223E-3</v>
      </c>
      <c r="T235" s="41">
        <f t="shared" si="5"/>
        <v>-1.1734267153642192E-2</v>
      </c>
    </row>
    <row r="236" spans="16:20" ht="15" customHeight="1">
      <c r="P236" s="53">
        <v>45721</v>
      </c>
      <c r="Q236" s="41">
        <v>20126.80078125</v>
      </c>
      <c r="R236" s="41">
        <v>1567.07849121093</v>
      </c>
      <c r="S236" s="41">
        <f t="shared" si="5"/>
        <v>1.544603151720019E-2</v>
      </c>
      <c r="T236" s="41">
        <f t="shared" si="5"/>
        <v>1.0181919992217564E-2</v>
      </c>
    </row>
    <row r="237" spans="16:20" ht="15" customHeight="1">
      <c r="P237" s="53">
        <v>45722</v>
      </c>
      <c r="Q237" s="41">
        <v>20423.349609375</v>
      </c>
      <c r="R237" s="41">
        <v>1598.32202148437</v>
      </c>
      <c r="S237" s="41">
        <f t="shared" si="5"/>
        <v>1.4734027098895071E-2</v>
      </c>
      <c r="T237" s="41">
        <f t="shared" si="5"/>
        <v>1.9937438008798884E-2</v>
      </c>
    </row>
    <row r="238" spans="16:20" ht="15" customHeight="1">
      <c r="P238" s="53">
        <v>45723</v>
      </c>
      <c r="Q238" s="41">
        <v>20378.30078125</v>
      </c>
      <c r="R238" s="41">
        <v>1593.66772460937</v>
      </c>
      <c r="S238" s="41">
        <f t="shared" si="5"/>
        <v>-2.2057512105811026E-3</v>
      </c>
      <c r="T238" s="41">
        <f t="shared" si="5"/>
        <v>-2.9119894567163195E-3</v>
      </c>
    </row>
    <row r="239" spans="16:20" ht="15" customHeight="1">
      <c r="P239" s="53">
        <v>45726</v>
      </c>
      <c r="Q239" s="41">
        <v>20256.55078125</v>
      </c>
      <c r="R239" s="41">
        <v>1595.84631347656</v>
      </c>
      <c r="S239" s="41">
        <f t="shared" si="5"/>
        <v>-5.9744922457922369E-3</v>
      </c>
      <c r="T239" s="41">
        <f t="shared" si="5"/>
        <v>1.3670282917500908E-3</v>
      </c>
    </row>
    <row r="240" spans="16:20" ht="15" customHeight="1">
      <c r="P240" s="53">
        <v>45727</v>
      </c>
      <c r="Q240" s="41">
        <v>20332.099609375</v>
      </c>
      <c r="R240" s="41">
        <v>1639.22082519531</v>
      </c>
      <c r="S240" s="41">
        <f t="shared" si="5"/>
        <v>3.7295998188857501E-3</v>
      </c>
      <c r="T240" s="41">
        <f t="shared" si="5"/>
        <v>2.7179629612489681E-2</v>
      </c>
    </row>
    <row r="241" spans="16:20" ht="15" customHeight="1">
      <c r="P241" s="53">
        <v>45728</v>
      </c>
      <c r="Q241" s="41">
        <v>20424</v>
      </c>
      <c r="R241" s="41">
        <v>1660.5615234375</v>
      </c>
      <c r="S241" s="41">
        <f t="shared" si="5"/>
        <v>4.5199655908937869E-3</v>
      </c>
      <c r="T241" s="41">
        <f t="shared" si="5"/>
        <v>1.301880619998059E-2</v>
      </c>
    </row>
    <row r="242" spans="16:20" ht="15" customHeight="1">
      <c r="P242" s="53">
        <v>45729</v>
      </c>
      <c r="Q242" s="41">
        <v>20386.849609375</v>
      </c>
      <c r="R242" s="41">
        <v>1667.09741210937</v>
      </c>
      <c r="S242" s="41">
        <f t="shared" si="5"/>
        <v>-1.8189576295045045E-3</v>
      </c>
      <c r="T242" s="41">
        <f t="shared" si="5"/>
        <v>3.9359509296229911E-3</v>
      </c>
    </row>
    <row r="243" spans="16:20" ht="15" customHeight="1">
      <c r="P243" s="53">
        <v>45733</v>
      </c>
      <c r="Q243" s="41">
        <v>20703.94921875</v>
      </c>
      <c r="R243" s="41">
        <v>1687.74487304687</v>
      </c>
      <c r="S243" s="41">
        <f t="shared" si="5"/>
        <v>1.5554125107646847E-2</v>
      </c>
      <c r="T243" s="41">
        <f t="shared" si="5"/>
        <v>1.2385275621881549E-2</v>
      </c>
    </row>
    <row r="244" spans="16:20" ht="15" customHeight="1">
      <c r="P244" s="53">
        <v>45734</v>
      </c>
      <c r="Q244" s="41">
        <v>21041.30078125</v>
      </c>
      <c r="R244" s="41">
        <v>1687.74487304687</v>
      </c>
      <c r="S244" s="41">
        <f t="shared" si="5"/>
        <v>1.6294068292752872E-2</v>
      </c>
      <c r="T244" s="41">
        <f t="shared" si="5"/>
        <v>0</v>
      </c>
    </row>
    <row r="245" spans="16:20" ht="15" customHeight="1">
      <c r="P245" s="53">
        <v>45735</v>
      </c>
      <c r="Q245" s="41">
        <v>21145.650390625</v>
      </c>
      <c r="R245" s="41">
        <v>1715.52233886718</v>
      </c>
      <c r="S245" s="41">
        <f t="shared" si="5"/>
        <v>4.9592755913639344E-3</v>
      </c>
      <c r="T245" s="41">
        <f t="shared" si="5"/>
        <v>1.6458332218283443E-2</v>
      </c>
    </row>
    <row r="246" spans="16:20" ht="15" customHeight="1">
      <c r="P246" s="53">
        <v>45736</v>
      </c>
      <c r="Q246" s="41">
        <v>21340.599609375</v>
      </c>
      <c r="R246" s="41">
        <v>1733.24853515625</v>
      </c>
      <c r="S246" s="41">
        <f t="shared" si="5"/>
        <v>9.2193531600442725E-3</v>
      </c>
      <c r="T246" s="41">
        <f t="shared" si="5"/>
        <v>1.0332827435389292E-2</v>
      </c>
    </row>
    <row r="247" spans="16:20" ht="15" customHeight="1">
      <c r="P247" s="53">
        <v>45737</v>
      </c>
      <c r="Q247" s="41">
        <v>21625.900390625</v>
      </c>
      <c r="R247" s="41">
        <v>1767.16577148437</v>
      </c>
      <c r="S247" s="41">
        <f t="shared" si="5"/>
        <v>1.3368920577314349E-2</v>
      </c>
      <c r="T247" s="41">
        <f t="shared" si="5"/>
        <v>1.9568593678380004E-2</v>
      </c>
    </row>
    <row r="248" spans="16:20" ht="15" customHeight="1">
      <c r="P248" s="53">
        <v>45740</v>
      </c>
      <c r="Q248" s="41">
        <v>21771.150390625</v>
      </c>
      <c r="R248" s="41">
        <v>1767.462890625</v>
      </c>
      <c r="S248" s="41">
        <f t="shared" si="5"/>
        <v>6.7164833545135085E-3</v>
      </c>
      <c r="T248" s="41">
        <f t="shared" si="5"/>
        <v>1.6813314598122304E-4</v>
      </c>
    </row>
    <row r="249" spans="16:20" ht="15" customHeight="1">
      <c r="P249" s="53">
        <v>45741</v>
      </c>
      <c r="Q249" s="41">
        <v>21542.5</v>
      </c>
      <c r="R249" s="41">
        <v>1747.60754394531</v>
      </c>
      <c r="S249" s="41">
        <f t="shared" si="5"/>
        <v>-1.0502448723309563E-2</v>
      </c>
      <c r="T249" s="41">
        <f t="shared" si="5"/>
        <v>-1.1233812480594072E-2</v>
      </c>
    </row>
    <row r="250" spans="16:20" ht="15" customHeight="1">
      <c r="P250" s="53">
        <v>45742</v>
      </c>
      <c r="Q250" s="41">
        <v>21360.599609375</v>
      </c>
      <c r="R250" s="41">
        <v>1741.86389160156</v>
      </c>
      <c r="S250" s="41">
        <f t="shared" si="5"/>
        <v>-8.4437920680051053E-3</v>
      </c>
      <c r="T250" s="41">
        <f t="shared" si="5"/>
        <v>-3.2865801956790722E-3</v>
      </c>
    </row>
    <row r="251" spans="16:20" ht="15" customHeight="1">
      <c r="P251" s="53">
        <v>45743</v>
      </c>
      <c r="Q251" s="41">
        <v>21275.150390625</v>
      </c>
      <c r="R251" s="41">
        <v>1714.63110351562</v>
      </c>
      <c r="S251" s="41">
        <f t="shared" si="5"/>
        <v>-4.0003192940565677E-3</v>
      </c>
      <c r="T251" s="41">
        <f t="shared" si="5"/>
        <v>-1.5634280162327013E-2</v>
      </c>
    </row>
    <row r="252" spans="16:20" ht="15" customHeight="1">
      <c r="P252" s="53">
        <v>45744</v>
      </c>
      <c r="Q252" s="41">
        <v>21137.44921875</v>
      </c>
      <c r="R252" s="41">
        <v>1717.84948730468</v>
      </c>
      <c r="S252" s="41">
        <f t="shared" si="5"/>
        <v>-6.4723947585197186E-3</v>
      </c>
      <c r="T252" s="41">
        <f t="shared" si="5"/>
        <v>1.8770123687020122E-3</v>
      </c>
    </row>
  </sheetData>
  <mergeCells count="2">
    <mergeCell ref="C2:F2"/>
    <mergeCell ref="P2:T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33C89-B984-4B59-B262-89E0147CEA7D}">
  <dimension ref="A2:I252"/>
  <sheetViews>
    <sheetView workbookViewId="0">
      <selection sqref="A1:I1048576"/>
    </sheetView>
  </sheetViews>
  <sheetFormatPr defaultRowHeight="14.4"/>
  <cols>
    <col min="1" max="1" width="10.33203125" bestFit="1" customWidth="1"/>
    <col min="8" max="8" width="25.6640625" bestFit="1" customWidth="1"/>
    <col min="9" max="9" width="15.6640625" bestFit="1" customWidth="1"/>
  </cols>
  <sheetData>
    <row r="2" spans="1:9">
      <c r="C2" t="s">
        <v>141</v>
      </c>
    </row>
    <row r="3" spans="1:9">
      <c r="A3" t="s">
        <v>1</v>
      </c>
      <c r="B3" t="s">
        <v>2</v>
      </c>
      <c r="C3" t="s">
        <v>2</v>
      </c>
      <c r="D3" t="s">
        <v>3</v>
      </c>
      <c r="E3" t="s">
        <v>3</v>
      </c>
      <c r="H3" t="s">
        <v>142</v>
      </c>
      <c r="I3" t="s">
        <v>143</v>
      </c>
    </row>
    <row r="4" spans="1:9">
      <c r="A4" t="s">
        <v>6</v>
      </c>
      <c r="B4" t="s">
        <v>7</v>
      </c>
      <c r="C4" t="s">
        <v>141</v>
      </c>
      <c r="D4" t="s">
        <v>8</v>
      </c>
      <c r="E4" t="s">
        <v>9</v>
      </c>
      <c r="H4">
        <f>_xlfn.COVARIANCE.S(D7:D252,E7:E252)</f>
        <v>9.6732110920103229E-5</v>
      </c>
      <c r="I4">
        <f>_xlfn.VAR.S(D7:D252)</f>
        <v>1.0123143075821166E-4</v>
      </c>
    </row>
    <row r="5" spans="1:9">
      <c r="A5" t="s">
        <v>10</v>
      </c>
    </row>
    <row r="6" spans="1:9">
      <c r="A6" s="2">
        <v>45383</v>
      </c>
      <c r="B6">
        <v>19207.900390625</v>
      </c>
      <c r="C6">
        <v>1470.34301757812</v>
      </c>
      <c r="H6" t="s">
        <v>11</v>
      </c>
    </row>
    <row r="7" spans="1:9">
      <c r="A7" s="2">
        <v>45384</v>
      </c>
      <c r="B7">
        <v>19185.150390625</v>
      </c>
      <c r="C7">
        <v>1461.26782226562</v>
      </c>
      <c r="D7">
        <f>(B7-B6)/B6</f>
        <v>-1.1844084744995777E-3</v>
      </c>
      <c r="E7">
        <f>(C7-C6)/C6</f>
        <v>-6.1721620084599273E-3</v>
      </c>
      <c r="H7">
        <f>H4/I4</f>
        <v>0.95555412183341626</v>
      </c>
    </row>
    <row r="8" spans="1:9">
      <c r="A8" s="2">
        <v>45385</v>
      </c>
      <c r="B8">
        <v>19153.05078125</v>
      </c>
      <c r="C8">
        <v>1443.70581054687</v>
      </c>
      <c r="D8">
        <f t="shared" ref="D8:D71" si="0">(B8-B7)/B7</f>
        <v>-1.6731486968528414E-3</v>
      </c>
      <c r="E8">
        <f t="shared" ref="E8:E71" si="1">(C8-C7)/C7</f>
        <v>-1.2018338767989164E-2</v>
      </c>
    </row>
    <row r="9" spans="1:9">
      <c r="A9" s="2">
        <v>45386</v>
      </c>
      <c r="B9">
        <v>19125.19921875</v>
      </c>
      <c r="C9">
        <v>1431.98156738281</v>
      </c>
      <c r="D9">
        <f t="shared" si="0"/>
        <v>-1.4541580251677432E-3</v>
      </c>
      <c r="E9">
        <f t="shared" si="1"/>
        <v>-8.120936466702245E-3</v>
      </c>
      <c r="H9" t="s">
        <v>12</v>
      </c>
    </row>
    <row r="10" spans="1:9">
      <c r="A10" s="2">
        <v>45387</v>
      </c>
      <c r="B10">
        <v>19160.75</v>
      </c>
      <c r="C10">
        <v>1422.02331542968</v>
      </c>
      <c r="D10">
        <f t="shared" si="0"/>
        <v>1.8588450161160495E-3</v>
      </c>
      <c r="E10">
        <f t="shared" si="1"/>
        <v>-6.9541760731811671E-3</v>
      </c>
      <c r="H10">
        <f>AVERAGE(D7:D252)</f>
        <v>4.3962859287504746E-4</v>
      </c>
    </row>
    <row r="11" spans="1:9">
      <c r="A11" s="2">
        <v>45390</v>
      </c>
      <c r="B11">
        <v>19218.849609375</v>
      </c>
      <c r="C11">
        <v>1434.82666015625</v>
      </c>
      <c r="D11">
        <f t="shared" si="0"/>
        <v>3.0322200005219002E-3</v>
      </c>
      <c r="E11">
        <f t="shared" si="1"/>
        <v>9.0036109729335432E-3</v>
      </c>
    </row>
    <row r="12" spans="1:9">
      <c r="A12" s="2">
        <v>45391</v>
      </c>
      <c r="B12">
        <v>19182.30078125</v>
      </c>
      <c r="C12">
        <v>1422.90637207031</v>
      </c>
      <c r="D12">
        <f t="shared" si="0"/>
        <v>-1.901717785812289E-3</v>
      </c>
      <c r="E12">
        <f t="shared" si="1"/>
        <v>-8.3078245037919093E-3</v>
      </c>
    </row>
    <row r="13" spans="1:9">
      <c r="A13" s="2">
        <v>45392</v>
      </c>
      <c r="B13">
        <v>19117</v>
      </c>
      <c r="C13">
        <v>1396.07287597656</v>
      </c>
      <c r="D13">
        <f t="shared" si="0"/>
        <v>-3.4042204840114454E-3</v>
      </c>
      <c r="E13">
        <f t="shared" si="1"/>
        <v>-1.885823032383193E-2</v>
      </c>
    </row>
    <row r="14" spans="1:9">
      <c r="A14" s="2">
        <v>45394</v>
      </c>
      <c r="B14">
        <v>18788.650390625</v>
      </c>
      <c r="C14">
        <v>1370.41687011718</v>
      </c>
      <c r="D14">
        <f t="shared" si="0"/>
        <v>-1.717579167102579E-2</v>
      </c>
      <c r="E14">
        <f t="shared" si="1"/>
        <v>-1.8377268336678697E-2</v>
      </c>
    </row>
    <row r="15" spans="1:9">
      <c r="A15" s="2">
        <v>45397</v>
      </c>
      <c r="B15">
        <v>18617.650390625</v>
      </c>
      <c r="C15">
        <v>1355.30773925781</v>
      </c>
      <c r="D15">
        <f t="shared" si="0"/>
        <v>-9.1012391228123615E-3</v>
      </c>
      <c r="E15">
        <f t="shared" si="1"/>
        <v>-1.1025207868375164E-2</v>
      </c>
    </row>
    <row r="16" spans="1:9">
      <c r="A16" s="2">
        <v>45398</v>
      </c>
      <c r="B16">
        <v>18695.599609375</v>
      </c>
      <c r="C16">
        <v>1349.22473144531</v>
      </c>
      <c r="D16">
        <f t="shared" si="0"/>
        <v>4.1868451235528448E-3</v>
      </c>
      <c r="E16">
        <f t="shared" si="1"/>
        <v>-4.4882853069452408E-3</v>
      </c>
    </row>
    <row r="17" spans="1:5">
      <c r="A17" s="2">
        <v>45400</v>
      </c>
      <c r="B17">
        <v>18525.75</v>
      </c>
      <c r="C17">
        <v>1321.85180664062</v>
      </c>
      <c r="D17">
        <f t="shared" si="0"/>
        <v>-9.0850046494271343E-3</v>
      </c>
      <c r="E17">
        <f t="shared" si="1"/>
        <v>-2.0287891384386136E-2</v>
      </c>
    </row>
    <row r="18" spans="1:5">
      <c r="A18" s="2">
        <v>45401</v>
      </c>
      <c r="B18">
        <v>18404.599609375</v>
      </c>
      <c r="C18">
        <v>1320.3310546875</v>
      </c>
      <c r="D18">
        <f t="shared" si="0"/>
        <v>-6.5395673926831573E-3</v>
      </c>
      <c r="E18">
        <f t="shared" si="1"/>
        <v>-1.1504708360499704E-3</v>
      </c>
    </row>
    <row r="19" spans="1:5">
      <c r="A19" s="2">
        <v>45404</v>
      </c>
      <c r="B19">
        <v>18643</v>
      </c>
      <c r="C19">
        <v>1329.25915527343</v>
      </c>
      <c r="D19">
        <f t="shared" si="0"/>
        <v>1.2953304917514357E-2</v>
      </c>
      <c r="E19">
        <f t="shared" si="1"/>
        <v>6.7620166580442407E-3</v>
      </c>
    </row>
    <row r="20" spans="1:5">
      <c r="A20" s="2">
        <v>45405</v>
      </c>
      <c r="B20">
        <v>18463.75</v>
      </c>
      <c r="C20">
        <v>1321.26306152343</v>
      </c>
      <c r="D20">
        <f t="shared" si="0"/>
        <v>-9.6148688515796821E-3</v>
      </c>
      <c r="E20">
        <f t="shared" si="1"/>
        <v>-6.0154513273637713E-3</v>
      </c>
    </row>
    <row r="21" spans="1:5">
      <c r="A21" s="2">
        <v>45406</v>
      </c>
      <c r="B21">
        <v>18586.19921875</v>
      </c>
      <c r="C21">
        <v>1371.79040527343</v>
      </c>
      <c r="D21">
        <f t="shared" si="0"/>
        <v>6.6318715726761896E-3</v>
      </c>
      <c r="E21">
        <f t="shared" si="1"/>
        <v>3.8241698584793135E-2</v>
      </c>
    </row>
    <row r="22" spans="1:5">
      <c r="A22" s="2">
        <v>45407</v>
      </c>
      <c r="B22">
        <v>18878.150390625</v>
      </c>
      <c r="C22">
        <v>1379.63928222656</v>
      </c>
      <c r="D22">
        <f t="shared" si="0"/>
        <v>1.5707954511779677E-2</v>
      </c>
      <c r="E22">
        <f t="shared" si="1"/>
        <v>5.7216298663100339E-3</v>
      </c>
    </row>
    <row r="23" spans="1:5">
      <c r="A23" s="2">
        <v>45408</v>
      </c>
      <c r="B23">
        <v>18994.650390625</v>
      </c>
      <c r="C23">
        <v>1382.53356933593</v>
      </c>
      <c r="D23">
        <f t="shared" si="0"/>
        <v>6.1711554145608772E-3</v>
      </c>
      <c r="E23">
        <f t="shared" si="1"/>
        <v>2.097857857960518E-3</v>
      </c>
    </row>
    <row r="24" spans="1:5">
      <c r="A24" s="2">
        <v>45411</v>
      </c>
      <c r="B24">
        <v>19096.900390625</v>
      </c>
      <c r="C24">
        <v>1381.4052734375</v>
      </c>
      <c r="D24">
        <f t="shared" si="0"/>
        <v>5.3830946028080888E-3</v>
      </c>
      <c r="E24">
        <f t="shared" si="1"/>
        <v>-8.161074157294778E-4</v>
      </c>
    </row>
    <row r="25" spans="1:5">
      <c r="A25" s="2">
        <v>45412</v>
      </c>
      <c r="B25">
        <v>18970.599609375</v>
      </c>
      <c r="C25">
        <v>1373.55639648437</v>
      </c>
      <c r="D25">
        <f t="shared" si="0"/>
        <v>-6.6136796373511613E-3</v>
      </c>
      <c r="E25">
        <f t="shared" si="1"/>
        <v>-5.6818061318086571E-3</v>
      </c>
    </row>
    <row r="26" spans="1:5">
      <c r="A26" s="2">
        <v>45414</v>
      </c>
      <c r="B26">
        <v>19124.44921875</v>
      </c>
      <c r="C26">
        <v>1393.22778320312</v>
      </c>
      <c r="D26">
        <f t="shared" si="0"/>
        <v>8.1098970271329604E-3</v>
      </c>
      <c r="E26">
        <f t="shared" si="1"/>
        <v>1.4321499116526333E-2</v>
      </c>
    </row>
    <row r="27" spans="1:5">
      <c r="A27" s="2">
        <v>45415</v>
      </c>
      <c r="B27">
        <v>19133.400390625</v>
      </c>
      <c r="C27">
        <v>1397.8388671875</v>
      </c>
      <c r="D27">
        <f t="shared" si="0"/>
        <v>4.6804861006005281E-4</v>
      </c>
      <c r="E27">
        <f t="shared" si="1"/>
        <v>3.3096411369136097E-3</v>
      </c>
    </row>
    <row r="28" spans="1:5">
      <c r="A28" s="2">
        <v>45418</v>
      </c>
      <c r="B28">
        <v>19203.30078125</v>
      </c>
      <c r="C28">
        <v>1396.51440429687</v>
      </c>
      <c r="D28">
        <f t="shared" si="0"/>
        <v>3.6533177165544422E-3</v>
      </c>
      <c r="E28">
        <f t="shared" si="1"/>
        <v>-9.4750755735878715E-4</v>
      </c>
    </row>
    <row r="29" spans="1:5">
      <c r="A29" s="2">
        <v>45419</v>
      </c>
      <c r="B29">
        <v>18846.30078125</v>
      </c>
      <c r="C29">
        <v>1360.998046875</v>
      </c>
      <c r="D29">
        <f t="shared" si="0"/>
        <v>-1.8590553992081031E-2</v>
      </c>
      <c r="E29">
        <f t="shared" si="1"/>
        <v>-2.5432145427638535E-2</v>
      </c>
    </row>
    <row r="30" spans="1:5">
      <c r="A30" s="2">
        <v>45420</v>
      </c>
      <c r="B30">
        <v>18850.849609375</v>
      </c>
      <c r="C30">
        <v>1358.59448242187</v>
      </c>
      <c r="D30">
        <f t="shared" si="0"/>
        <v>2.4136450849418601E-4</v>
      </c>
      <c r="E30">
        <f t="shared" si="1"/>
        <v>-1.766030787956565E-3</v>
      </c>
    </row>
    <row r="31" spans="1:5">
      <c r="A31" s="2">
        <v>45421</v>
      </c>
      <c r="B31">
        <v>18437.05078125</v>
      </c>
      <c r="C31">
        <v>1333.13464355468</v>
      </c>
      <c r="D31">
        <f t="shared" si="0"/>
        <v>-2.1951203086316463E-2</v>
      </c>
      <c r="E31">
        <f t="shared" si="1"/>
        <v>-1.8739836792068046E-2</v>
      </c>
    </row>
    <row r="32" spans="1:5">
      <c r="A32" s="2">
        <v>45422</v>
      </c>
      <c r="B32">
        <v>18609.44921875</v>
      </c>
      <c r="C32">
        <v>1314.24816894531</v>
      </c>
      <c r="D32">
        <f t="shared" si="0"/>
        <v>9.3506515518916242E-3</v>
      </c>
      <c r="E32">
        <f t="shared" si="1"/>
        <v>-1.4166967080692587E-2</v>
      </c>
    </row>
    <row r="33" spans="1:5">
      <c r="A33" s="2">
        <v>45425</v>
      </c>
      <c r="B33">
        <v>18939</v>
      </c>
      <c r="C33">
        <v>1387.9296875</v>
      </c>
      <c r="D33">
        <f t="shared" si="0"/>
        <v>1.7708787475448774E-2</v>
      </c>
      <c r="E33">
        <f t="shared" si="1"/>
        <v>5.6063626562873392E-2</v>
      </c>
    </row>
    <row r="34" spans="1:5">
      <c r="A34" s="2">
        <v>45426</v>
      </c>
      <c r="B34">
        <v>18860.849609375</v>
      </c>
      <c r="C34">
        <v>1331.7119140625</v>
      </c>
      <c r="D34">
        <f t="shared" si="0"/>
        <v>-4.1264264546702571E-3</v>
      </c>
      <c r="E34">
        <f t="shared" si="1"/>
        <v>-4.0504770482114212E-2</v>
      </c>
    </row>
    <row r="35" spans="1:5">
      <c r="A35" s="2">
        <v>45427</v>
      </c>
      <c r="B35">
        <v>18886.55078125</v>
      </c>
      <c r="C35">
        <v>1380.12976074218</v>
      </c>
      <c r="D35">
        <f t="shared" si="0"/>
        <v>1.3626730718548829E-3</v>
      </c>
      <c r="E35">
        <f t="shared" si="1"/>
        <v>3.6357598192522926E-2</v>
      </c>
    </row>
    <row r="36" spans="1:5">
      <c r="A36" s="2">
        <v>45428</v>
      </c>
      <c r="B36">
        <v>18996.150390625</v>
      </c>
      <c r="C36">
        <v>1394.2578125</v>
      </c>
      <c r="D36">
        <f t="shared" si="0"/>
        <v>5.8030505752171115E-3</v>
      </c>
      <c r="E36">
        <f t="shared" si="1"/>
        <v>1.0236756107789811E-2</v>
      </c>
    </row>
    <row r="37" spans="1:5">
      <c r="A37" s="2">
        <v>45429</v>
      </c>
      <c r="B37">
        <v>18981.599609375</v>
      </c>
      <c r="C37">
        <v>1372.62438964843</v>
      </c>
      <c r="D37">
        <f t="shared" si="0"/>
        <v>-7.6598578926713055E-4</v>
      </c>
      <c r="E37">
        <f t="shared" si="1"/>
        <v>-1.5516085086717061E-2</v>
      </c>
    </row>
    <row r="38" spans="1:5">
      <c r="A38" s="2">
        <v>45433</v>
      </c>
      <c r="B38">
        <v>19205.19921875</v>
      </c>
      <c r="C38">
        <v>1415.05737304687</v>
      </c>
      <c r="D38">
        <f t="shared" si="0"/>
        <v>1.17798085502006E-2</v>
      </c>
      <c r="E38">
        <f t="shared" si="1"/>
        <v>3.0913761782499254E-2</v>
      </c>
    </row>
    <row r="39" spans="1:5">
      <c r="A39" s="2">
        <v>45434</v>
      </c>
      <c r="B39">
        <v>19317.400390625</v>
      </c>
      <c r="C39">
        <v>1454.30187988281</v>
      </c>
      <c r="D39">
        <f t="shared" si="0"/>
        <v>5.842229002522307E-3</v>
      </c>
      <c r="E39">
        <f t="shared" si="1"/>
        <v>2.7733509314494864E-2</v>
      </c>
    </row>
    <row r="40" spans="1:5">
      <c r="A40" s="2">
        <v>45435</v>
      </c>
      <c r="B40">
        <v>19216.349609375</v>
      </c>
      <c r="C40">
        <v>1461.0224609375</v>
      </c>
      <c r="D40">
        <f t="shared" si="0"/>
        <v>-5.2310755695182121E-3</v>
      </c>
      <c r="E40">
        <f t="shared" si="1"/>
        <v>4.6211733256038678E-3</v>
      </c>
    </row>
    <row r="41" spans="1:5">
      <c r="A41" s="2">
        <v>45436</v>
      </c>
      <c r="B41">
        <v>19119.5</v>
      </c>
      <c r="C41">
        <v>1458.37341308593</v>
      </c>
      <c r="D41">
        <f t="shared" si="0"/>
        <v>-5.0399587509456214E-3</v>
      </c>
      <c r="E41">
        <f t="shared" si="1"/>
        <v>-1.8131465616689961E-3</v>
      </c>
    </row>
    <row r="42" spans="1:5">
      <c r="A42" s="2">
        <v>45439</v>
      </c>
      <c r="B42">
        <v>19111.94921875</v>
      </c>
      <c r="C42">
        <v>1450.72094726562</v>
      </c>
      <c r="D42">
        <f t="shared" si="0"/>
        <v>-3.9492566489709459E-4</v>
      </c>
      <c r="E42">
        <f t="shared" si="1"/>
        <v>-5.2472609220962953E-3</v>
      </c>
    </row>
    <row r="43" spans="1:5">
      <c r="A43" s="2">
        <v>45440</v>
      </c>
      <c r="B43">
        <v>19215.75</v>
      </c>
      <c r="C43">
        <v>1451.50561523437</v>
      </c>
      <c r="D43">
        <f t="shared" si="0"/>
        <v>5.4311980458887485E-3</v>
      </c>
      <c r="E43">
        <f t="shared" si="1"/>
        <v>5.4088139433636445E-4</v>
      </c>
    </row>
    <row r="44" spans="1:5">
      <c r="A44" s="2">
        <v>45441</v>
      </c>
      <c r="B44">
        <v>19321.349609375</v>
      </c>
      <c r="C44">
        <v>1465.33935546875</v>
      </c>
      <c r="D44">
        <f t="shared" si="0"/>
        <v>5.4954716508593213E-3</v>
      </c>
      <c r="E44">
        <f t="shared" si="1"/>
        <v>9.5306143422299559E-3</v>
      </c>
    </row>
    <row r="45" spans="1:5">
      <c r="A45" s="2">
        <v>45442</v>
      </c>
      <c r="B45">
        <v>18971</v>
      </c>
      <c r="C45">
        <v>1438.89831542968</v>
      </c>
      <c r="D45">
        <f t="shared" si="0"/>
        <v>-1.8132771077492706E-2</v>
      </c>
      <c r="E45">
        <f t="shared" si="1"/>
        <v>-1.8044311674555231E-2</v>
      </c>
    </row>
    <row r="46" spans="1:5">
      <c r="A46" s="2">
        <v>45443</v>
      </c>
      <c r="B46">
        <v>18796.30078125</v>
      </c>
      <c r="C46">
        <v>1419.86486816406</v>
      </c>
      <c r="D46">
        <f t="shared" si="0"/>
        <v>-9.2087511860207694E-3</v>
      </c>
      <c r="E46">
        <f t="shared" si="1"/>
        <v>-1.322779174978482E-2</v>
      </c>
    </row>
    <row r="47" spans="1:5">
      <c r="A47" s="2">
        <v>45446</v>
      </c>
      <c r="B47">
        <v>18864.150390625</v>
      </c>
      <c r="C47">
        <v>1424.91760253906</v>
      </c>
      <c r="D47">
        <f t="shared" si="0"/>
        <v>3.6097320512492796E-3</v>
      </c>
      <c r="E47">
        <f t="shared" si="1"/>
        <v>3.5586022925782933E-3</v>
      </c>
    </row>
    <row r="48" spans="1:5">
      <c r="A48" s="2">
        <v>45447</v>
      </c>
      <c r="B48">
        <v>18603.150390625</v>
      </c>
      <c r="C48">
        <v>1434.92492675781</v>
      </c>
      <c r="D48">
        <f t="shared" si="0"/>
        <v>-1.3835767558856524E-2</v>
      </c>
      <c r="E48">
        <f t="shared" si="1"/>
        <v>7.0230897568518726E-3</v>
      </c>
    </row>
    <row r="49" spans="1:5">
      <c r="A49" s="2">
        <v>45448</v>
      </c>
      <c r="B49">
        <v>19281.25</v>
      </c>
      <c r="C49">
        <v>1468.67504882812</v>
      </c>
      <c r="D49">
        <f t="shared" si="0"/>
        <v>3.6450794362052043E-2</v>
      </c>
      <c r="E49">
        <f t="shared" si="1"/>
        <v>2.3520479323310566E-2</v>
      </c>
    </row>
    <row r="50" spans="1:5">
      <c r="A50" s="2">
        <v>45449</v>
      </c>
      <c r="B50">
        <v>19232.099609375</v>
      </c>
      <c r="C50">
        <v>1449.10192871093</v>
      </c>
      <c r="D50">
        <f t="shared" si="0"/>
        <v>-2.5491288492706645E-3</v>
      </c>
      <c r="E50">
        <f t="shared" si="1"/>
        <v>-1.3327059741913444E-2</v>
      </c>
    </row>
    <row r="51" spans="1:5">
      <c r="A51" s="2">
        <v>45450</v>
      </c>
      <c r="B51">
        <v>19578</v>
      </c>
      <c r="C51">
        <v>1468.96948242187</v>
      </c>
      <c r="D51">
        <f t="shared" si="0"/>
        <v>1.7985576075967558E-2</v>
      </c>
      <c r="E51">
        <f t="shared" si="1"/>
        <v>1.3710252755383106E-2</v>
      </c>
    </row>
    <row r="52" spans="1:5">
      <c r="A52" s="2">
        <v>45453</v>
      </c>
      <c r="B52">
        <v>19774.69921875</v>
      </c>
      <c r="C52">
        <v>1505.27062988281</v>
      </c>
      <c r="D52">
        <f t="shared" si="0"/>
        <v>1.0046951616610482E-2</v>
      </c>
      <c r="E52">
        <f t="shared" si="1"/>
        <v>2.4711982035930925E-2</v>
      </c>
    </row>
    <row r="53" spans="1:5">
      <c r="A53" s="2">
        <v>45454</v>
      </c>
      <c r="B53">
        <v>19689.69921875</v>
      </c>
      <c r="C53">
        <v>1501.34619140625</v>
      </c>
      <c r="D53">
        <f t="shared" si="0"/>
        <v>-4.2984218905036285E-3</v>
      </c>
      <c r="E53">
        <f t="shared" si="1"/>
        <v>-2.6071315009085967E-3</v>
      </c>
    </row>
    <row r="54" spans="1:5">
      <c r="A54" s="2">
        <v>45455</v>
      </c>
      <c r="B54">
        <v>19739.099609375</v>
      </c>
      <c r="C54">
        <v>1511.84411621093</v>
      </c>
      <c r="D54">
        <f t="shared" si="0"/>
        <v>2.5089459252865204E-3</v>
      </c>
      <c r="E54">
        <f t="shared" si="1"/>
        <v>6.9923411833795754E-3</v>
      </c>
    </row>
    <row r="55" spans="1:5">
      <c r="A55" s="2">
        <v>45456</v>
      </c>
      <c r="B55">
        <v>19838.5</v>
      </c>
      <c r="C55">
        <v>1515.37622070312</v>
      </c>
      <c r="D55">
        <f t="shared" si="0"/>
        <v>5.0357104727203573E-3</v>
      </c>
      <c r="E55">
        <f t="shared" si="1"/>
        <v>2.3362888106760391E-3</v>
      </c>
    </row>
    <row r="56" spans="1:5">
      <c r="A56" s="2">
        <v>45457</v>
      </c>
      <c r="B56">
        <v>19895.650390625</v>
      </c>
      <c r="C56">
        <v>1535.19445800781</v>
      </c>
      <c r="D56">
        <f t="shared" si="0"/>
        <v>2.8807818446455126E-3</v>
      </c>
      <c r="E56">
        <f t="shared" si="1"/>
        <v>1.3078097065225511E-2</v>
      </c>
    </row>
    <row r="57" spans="1:5">
      <c r="A57" s="2">
        <v>45461</v>
      </c>
      <c r="B57">
        <v>19826.650390625</v>
      </c>
      <c r="C57">
        <v>1545.0546875</v>
      </c>
      <c r="D57">
        <f t="shared" si="0"/>
        <v>-3.4680947164468364E-3</v>
      </c>
      <c r="E57">
        <f t="shared" si="1"/>
        <v>6.4227886185737127E-3</v>
      </c>
    </row>
    <row r="58" spans="1:5">
      <c r="A58" s="2">
        <v>45462</v>
      </c>
      <c r="B58">
        <v>19644.5</v>
      </c>
      <c r="C58">
        <v>1530.33801269531</v>
      </c>
      <c r="D58">
        <f t="shared" si="0"/>
        <v>-9.1871489654717226E-3</v>
      </c>
      <c r="E58">
        <f t="shared" si="1"/>
        <v>-9.5250187088863156E-3</v>
      </c>
    </row>
    <row r="59" spans="1:5">
      <c r="A59" s="2">
        <v>45463</v>
      </c>
      <c r="B59">
        <v>19544.55078125</v>
      </c>
      <c r="C59">
        <v>1515.67041015625</v>
      </c>
      <c r="D59">
        <f t="shared" si="0"/>
        <v>-5.0878983303214642E-3</v>
      </c>
      <c r="E59">
        <f t="shared" si="1"/>
        <v>-9.5845508752845157E-3</v>
      </c>
    </row>
    <row r="60" spans="1:5">
      <c r="A60" s="2">
        <v>45464</v>
      </c>
      <c r="B60">
        <v>19528.400390625</v>
      </c>
      <c r="C60">
        <v>1512.43273925781</v>
      </c>
      <c r="D60">
        <f t="shared" si="0"/>
        <v>-8.2633726432299601E-4</v>
      </c>
      <c r="E60">
        <f t="shared" si="1"/>
        <v>-2.136131230605888E-3</v>
      </c>
    </row>
    <row r="61" spans="1:5">
      <c r="A61" s="2">
        <v>45467</v>
      </c>
      <c r="B61">
        <v>19521.150390625</v>
      </c>
      <c r="C61">
        <v>1475.98449707031</v>
      </c>
      <c r="D61">
        <f t="shared" si="0"/>
        <v>-3.7125416598281691E-4</v>
      </c>
      <c r="E61">
        <f t="shared" si="1"/>
        <v>-2.40990830477434E-2</v>
      </c>
    </row>
    <row r="62" spans="1:5">
      <c r="A62" s="2">
        <v>45468</v>
      </c>
      <c r="B62">
        <v>19532.30078125</v>
      </c>
      <c r="C62">
        <v>1471.37316894531</v>
      </c>
      <c r="D62">
        <f t="shared" si="0"/>
        <v>5.7119536512330522E-4</v>
      </c>
      <c r="E62">
        <f t="shared" si="1"/>
        <v>-3.1242388616906556E-3</v>
      </c>
    </row>
    <row r="63" spans="1:5">
      <c r="A63" s="2">
        <v>45469</v>
      </c>
      <c r="B63">
        <v>19545.349609375</v>
      </c>
      <c r="C63">
        <v>1451.16235351562</v>
      </c>
      <c r="D63">
        <f t="shared" si="0"/>
        <v>6.6806405815367134E-4</v>
      </c>
      <c r="E63">
        <f t="shared" si="1"/>
        <v>-1.3736022822937058E-2</v>
      </c>
    </row>
    <row r="64" spans="1:5">
      <c r="A64" s="2">
        <v>45470</v>
      </c>
      <c r="B64">
        <v>19514.80078125</v>
      </c>
      <c r="C64">
        <v>1452.92834472656</v>
      </c>
      <c r="D64">
        <f t="shared" si="0"/>
        <v>-1.5629716907364574E-3</v>
      </c>
      <c r="E64">
        <f t="shared" si="1"/>
        <v>1.2169494382635198E-3</v>
      </c>
    </row>
    <row r="65" spans="1:5">
      <c r="A65" s="2">
        <v>45471</v>
      </c>
      <c r="B65">
        <v>19731.55078125</v>
      </c>
      <c r="C65">
        <v>1452.83020019531</v>
      </c>
      <c r="D65">
        <f t="shared" si="0"/>
        <v>1.1106954276891998E-2</v>
      </c>
      <c r="E65">
        <f t="shared" si="1"/>
        <v>-6.7549464229408183E-5</v>
      </c>
    </row>
    <row r="66" spans="1:5">
      <c r="A66" s="2">
        <v>45474</v>
      </c>
      <c r="B66">
        <v>19758.25</v>
      </c>
      <c r="C66">
        <v>1451.16235351562</v>
      </c>
      <c r="D66">
        <f t="shared" si="0"/>
        <v>1.353123180534348E-3</v>
      </c>
      <c r="E66">
        <f t="shared" si="1"/>
        <v>-1.1479983548426964E-3</v>
      </c>
    </row>
    <row r="67" spans="1:5">
      <c r="A67" s="2">
        <v>45475</v>
      </c>
      <c r="B67">
        <v>19786.400390625</v>
      </c>
      <c r="C67">
        <v>1460.53198242187</v>
      </c>
      <c r="D67">
        <f t="shared" si="0"/>
        <v>1.4247410891652854E-3</v>
      </c>
      <c r="E67">
        <f t="shared" si="1"/>
        <v>6.4566372491340592E-3</v>
      </c>
    </row>
    <row r="68" spans="1:5">
      <c r="A68" s="2">
        <v>45476</v>
      </c>
      <c r="B68">
        <v>19915.30078125</v>
      </c>
      <c r="C68">
        <v>1455.72448730468</v>
      </c>
      <c r="D68">
        <f t="shared" si="0"/>
        <v>6.514595281619507E-3</v>
      </c>
      <c r="E68">
        <f t="shared" si="1"/>
        <v>-3.2916055074796516E-3</v>
      </c>
    </row>
    <row r="69" spans="1:5">
      <c r="A69" s="2">
        <v>45477</v>
      </c>
      <c r="B69">
        <v>20192.599609375</v>
      </c>
      <c r="C69">
        <v>1452.78112792968</v>
      </c>
      <c r="D69">
        <f t="shared" si="0"/>
        <v>1.3923908615333255E-2</v>
      </c>
      <c r="E69">
        <f t="shared" si="1"/>
        <v>-2.0219206317328101E-3</v>
      </c>
    </row>
    <row r="70" spans="1:5">
      <c r="A70" s="2">
        <v>45478</v>
      </c>
      <c r="B70">
        <v>20453.849609375</v>
      </c>
      <c r="C70">
        <v>1481.38061523437</v>
      </c>
      <c r="D70">
        <f t="shared" si="0"/>
        <v>1.2937908196758732E-2</v>
      </c>
      <c r="E70">
        <f t="shared" si="1"/>
        <v>1.9686026170677461E-2</v>
      </c>
    </row>
    <row r="71" spans="1:5">
      <c r="A71" s="2">
        <v>45481</v>
      </c>
      <c r="B71">
        <v>20325.80078125</v>
      </c>
      <c r="C71">
        <v>1458.96215820312</v>
      </c>
      <c r="D71">
        <f t="shared" si="0"/>
        <v>-6.2603779029600844E-3</v>
      </c>
      <c r="E71">
        <f t="shared" si="1"/>
        <v>-1.5133488855396669E-2</v>
      </c>
    </row>
    <row r="72" spans="1:5">
      <c r="A72" s="2">
        <v>45482</v>
      </c>
      <c r="B72">
        <v>20645.80078125</v>
      </c>
      <c r="C72">
        <v>1483.48999023437</v>
      </c>
      <c r="D72">
        <f t="shared" ref="D72:D135" si="2">(B72-B71)/B71</f>
        <v>1.5743537164606636E-2</v>
      </c>
      <c r="E72">
        <f t="shared" ref="E72:E135" si="3">(C72-C71)/C71</f>
        <v>1.6811835655462681E-2</v>
      </c>
    </row>
    <row r="73" spans="1:5">
      <c r="A73" s="2">
        <v>45483</v>
      </c>
      <c r="B73">
        <v>20725.94921875</v>
      </c>
      <c r="C73">
        <v>1484.6181640625</v>
      </c>
      <c r="D73">
        <f t="shared" si="2"/>
        <v>3.8820696929706311E-3</v>
      </c>
      <c r="E73">
        <f t="shared" si="3"/>
        <v>7.6048630968636802E-4</v>
      </c>
    </row>
    <row r="74" spans="1:5">
      <c r="A74" s="2">
        <v>45484</v>
      </c>
      <c r="B74">
        <v>20601.69921875</v>
      </c>
      <c r="C74">
        <v>1477.55419921875</v>
      </c>
      <c r="D74">
        <f t="shared" si="2"/>
        <v>-5.9949003391167061E-3</v>
      </c>
      <c r="E74">
        <f t="shared" si="3"/>
        <v>-4.7581021266910883E-3</v>
      </c>
    </row>
    <row r="75" spans="1:5">
      <c r="A75" s="2">
        <v>45485</v>
      </c>
      <c r="B75">
        <v>20612.650390625</v>
      </c>
      <c r="C75">
        <v>1483.48999023437</v>
      </c>
      <c r="D75">
        <f t="shared" si="2"/>
        <v>5.3156643822045171E-4</v>
      </c>
      <c r="E75">
        <f t="shared" si="3"/>
        <v>4.0173084809738422E-3</v>
      </c>
    </row>
    <row r="76" spans="1:5">
      <c r="A76" s="2">
        <v>45488</v>
      </c>
      <c r="B76">
        <v>20844.55078125</v>
      </c>
      <c r="C76">
        <v>1488.54260253906</v>
      </c>
      <c r="D76">
        <f t="shared" si="2"/>
        <v>1.125039168812917E-2</v>
      </c>
      <c r="E76">
        <f t="shared" si="3"/>
        <v>3.4058957849063486E-3</v>
      </c>
    </row>
    <row r="77" spans="1:5">
      <c r="A77" s="2">
        <v>45489</v>
      </c>
      <c r="B77">
        <v>20765.44921875</v>
      </c>
      <c r="C77">
        <v>1481.87121582031</v>
      </c>
      <c r="D77">
        <f t="shared" si="2"/>
        <v>-3.7948317202956034E-3</v>
      </c>
      <c r="E77">
        <f t="shared" si="3"/>
        <v>-4.4818245089998628E-3</v>
      </c>
    </row>
    <row r="78" spans="1:5">
      <c r="A78" s="2">
        <v>45491</v>
      </c>
      <c r="B78">
        <v>20768.349609375</v>
      </c>
      <c r="C78">
        <v>1478.19201660156</v>
      </c>
      <c r="D78">
        <f t="shared" si="2"/>
        <v>1.3967386857112221E-4</v>
      </c>
      <c r="E78">
        <f t="shared" si="3"/>
        <v>-2.4828063191127776E-3</v>
      </c>
    </row>
    <row r="79" spans="1:5">
      <c r="A79" s="2">
        <v>45492</v>
      </c>
      <c r="B79">
        <v>20425.400390625</v>
      </c>
      <c r="C79">
        <v>1457.44140625</v>
      </c>
      <c r="D79">
        <f t="shared" si="2"/>
        <v>-1.6513070378745453E-2</v>
      </c>
      <c r="E79">
        <f t="shared" si="3"/>
        <v>-1.4037831430903494E-2</v>
      </c>
    </row>
    <row r="80" spans="1:5">
      <c r="A80" s="2">
        <v>45495</v>
      </c>
      <c r="B80">
        <v>20641.55078125</v>
      </c>
      <c r="C80">
        <v>1461.8564453125</v>
      </c>
      <c r="D80">
        <f t="shared" si="2"/>
        <v>1.0582431016833838E-2</v>
      </c>
      <c r="E80">
        <f t="shared" si="3"/>
        <v>3.0293081036169441E-3</v>
      </c>
    </row>
    <row r="81" spans="1:5">
      <c r="A81" s="2">
        <v>45496</v>
      </c>
      <c r="B81">
        <v>20755.349609375</v>
      </c>
      <c r="C81">
        <v>1469.60729980468</v>
      </c>
      <c r="D81">
        <f t="shared" si="2"/>
        <v>5.5130948895744077E-3</v>
      </c>
      <c r="E81">
        <f t="shared" si="3"/>
        <v>5.3020626731396341E-3</v>
      </c>
    </row>
    <row r="82" spans="1:5">
      <c r="A82" s="2">
        <v>45497</v>
      </c>
      <c r="B82">
        <v>20908.5</v>
      </c>
      <c r="C82">
        <v>1475.10144042968</v>
      </c>
      <c r="D82">
        <f t="shared" si="2"/>
        <v>7.3788393598450096E-3</v>
      </c>
      <c r="E82">
        <f t="shared" si="3"/>
        <v>3.7385093458165361E-3</v>
      </c>
    </row>
    <row r="83" spans="1:5">
      <c r="A83" s="2">
        <v>45498</v>
      </c>
      <c r="B83">
        <v>21105.5</v>
      </c>
      <c r="C83">
        <v>1471.71667480468</v>
      </c>
      <c r="D83">
        <f t="shared" si="2"/>
        <v>9.4220054045005622E-3</v>
      </c>
      <c r="E83">
        <f t="shared" si="3"/>
        <v>-2.2945985491099898E-3</v>
      </c>
    </row>
    <row r="84" spans="1:5">
      <c r="A84" s="2">
        <v>45499</v>
      </c>
      <c r="B84">
        <v>21603.099609375</v>
      </c>
      <c r="C84">
        <v>1545.25085449218</v>
      </c>
      <c r="D84">
        <f t="shared" si="2"/>
        <v>2.3576774270924642E-2</v>
      </c>
      <c r="E84">
        <f t="shared" si="3"/>
        <v>4.9964902176065341E-2</v>
      </c>
    </row>
    <row r="85" spans="1:5">
      <c r="A85" s="2">
        <v>45502</v>
      </c>
      <c r="B85">
        <v>21674.94921875</v>
      </c>
      <c r="C85">
        <v>1524.59851074218</v>
      </c>
      <c r="D85">
        <f t="shared" si="2"/>
        <v>3.3258935372320253E-3</v>
      </c>
      <c r="E85">
        <f t="shared" si="3"/>
        <v>-1.3365042763096894E-2</v>
      </c>
    </row>
    <row r="86" spans="1:5">
      <c r="A86" s="2">
        <v>45503</v>
      </c>
      <c r="B86">
        <v>21540.80078125</v>
      </c>
      <c r="C86">
        <v>1500.02172851562</v>
      </c>
      <c r="D86">
        <f t="shared" si="2"/>
        <v>-6.1891004286162002E-3</v>
      </c>
      <c r="E86">
        <f t="shared" si="3"/>
        <v>-1.612016675432533E-2</v>
      </c>
    </row>
    <row r="87" spans="1:5">
      <c r="A87" s="2">
        <v>45504</v>
      </c>
      <c r="B87">
        <v>21777.150390625</v>
      </c>
      <c r="C87">
        <v>1515.130859375</v>
      </c>
      <c r="D87">
        <f t="shared" si="2"/>
        <v>1.0972183057406503E-2</v>
      </c>
      <c r="E87">
        <f t="shared" si="3"/>
        <v>1.0072607997706526E-2</v>
      </c>
    </row>
    <row r="88" spans="1:5">
      <c r="A88" s="2">
        <v>45505</v>
      </c>
      <c r="B88">
        <v>21790.349609375</v>
      </c>
      <c r="C88">
        <v>1516.99487304687</v>
      </c>
      <c r="D88">
        <f t="shared" si="2"/>
        <v>6.061040362600529E-4</v>
      </c>
      <c r="E88">
        <f t="shared" si="3"/>
        <v>1.2302657954171125E-3</v>
      </c>
    </row>
    <row r="89" spans="1:5">
      <c r="A89" s="2">
        <v>45506</v>
      </c>
      <c r="B89">
        <v>21902.849609375</v>
      </c>
      <c r="C89">
        <v>1512.64147949218</v>
      </c>
      <c r="D89">
        <f t="shared" si="2"/>
        <v>5.1628359350231997E-3</v>
      </c>
      <c r="E89">
        <f t="shared" si="3"/>
        <v>-2.8697483637148036E-3</v>
      </c>
    </row>
    <row r="90" spans="1:5">
      <c r="A90" s="2">
        <v>45509</v>
      </c>
      <c r="B90">
        <v>21583.05078125</v>
      </c>
      <c r="C90">
        <v>1499.03674316406</v>
      </c>
      <c r="D90">
        <f t="shared" si="2"/>
        <v>-1.4600786373847796E-2</v>
      </c>
      <c r="E90">
        <f t="shared" si="3"/>
        <v>-8.9940256911950761E-3</v>
      </c>
    </row>
    <row r="91" spans="1:5">
      <c r="A91" s="2">
        <v>45510</v>
      </c>
      <c r="B91">
        <v>21562.55078125</v>
      </c>
      <c r="C91">
        <v>1515.70861816406</v>
      </c>
      <c r="D91">
        <f t="shared" si="2"/>
        <v>-9.4981938409787337E-4</v>
      </c>
      <c r="E91">
        <f t="shared" si="3"/>
        <v>1.1121725385336583E-2</v>
      </c>
    </row>
    <row r="92" spans="1:5">
      <c r="A92" s="2">
        <v>45511</v>
      </c>
      <c r="B92">
        <v>22036.94921875</v>
      </c>
      <c r="C92">
        <v>1537.1298828125</v>
      </c>
      <c r="D92">
        <f t="shared" si="2"/>
        <v>2.2001035142489699E-2</v>
      </c>
      <c r="E92">
        <f t="shared" si="3"/>
        <v>1.4132838193126489E-2</v>
      </c>
    </row>
    <row r="93" spans="1:5">
      <c r="A93" s="2">
        <v>45512</v>
      </c>
      <c r="B93">
        <v>22114.25</v>
      </c>
      <c r="C93">
        <v>1553.3564453125</v>
      </c>
      <c r="D93">
        <f t="shared" si="2"/>
        <v>3.5077805227335694E-3</v>
      </c>
      <c r="E93">
        <f t="shared" si="3"/>
        <v>1.0556402995893955E-2</v>
      </c>
    </row>
    <row r="94" spans="1:5">
      <c r="A94" s="2">
        <v>45513</v>
      </c>
      <c r="B94">
        <v>22209.55078125</v>
      </c>
      <c r="C94">
        <v>1558.10571289062</v>
      </c>
      <c r="D94">
        <f t="shared" si="2"/>
        <v>4.3094738121347096E-3</v>
      </c>
      <c r="E94">
        <f t="shared" si="3"/>
        <v>3.0574229066687606E-3</v>
      </c>
    </row>
    <row r="95" spans="1:5">
      <c r="A95" s="2">
        <v>45516</v>
      </c>
      <c r="B95">
        <v>22205.599609375</v>
      </c>
      <c r="C95">
        <v>1569.48425292968</v>
      </c>
      <c r="D95">
        <f t="shared" si="2"/>
        <v>-1.7790417797804823E-4</v>
      </c>
      <c r="E95">
        <f t="shared" si="3"/>
        <v>7.3028036191141159E-3</v>
      </c>
    </row>
    <row r="96" spans="1:5">
      <c r="A96" s="2">
        <v>45517</v>
      </c>
      <c r="B96">
        <v>22191.599609375</v>
      </c>
      <c r="C96">
        <v>1566.71374511718</v>
      </c>
      <c r="D96">
        <f t="shared" si="2"/>
        <v>-6.304716038421826E-4</v>
      </c>
      <c r="E96">
        <f t="shared" si="3"/>
        <v>-1.7652345395173146E-3</v>
      </c>
    </row>
    <row r="97" spans="1:5">
      <c r="A97" s="2">
        <v>45518</v>
      </c>
      <c r="B97">
        <v>22012.69921875</v>
      </c>
      <c r="C97">
        <v>1547.271484375</v>
      </c>
      <c r="D97">
        <f t="shared" si="2"/>
        <v>-8.061626641345054E-3</v>
      </c>
      <c r="E97">
        <f t="shared" si="3"/>
        <v>-1.2409580756391361E-2</v>
      </c>
    </row>
    <row r="98" spans="1:5">
      <c r="A98" s="2">
        <v>45520</v>
      </c>
      <c r="B98">
        <v>22106.5</v>
      </c>
      <c r="C98">
        <v>1559.44140625</v>
      </c>
      <c r="D98">
        <f t="shared" si="2"/>
        <v>4.2612121447651577E-3</v>
      </c>
      <c r="E98">
        <f t="shared" si="3"/>
        <v>7.8654082350104702E-3</v>
      </c>
    </row>
    <row r="99" spans="1:5">
      <c r="A99" s="2">
        <v>45523</v>
      </c>
      <c r="B99">
        <v>22237.849609375</v>
      </c>
      <c r="C99">
        <v>1558.84777832031</v>
      </c>
      <c r="D99">
        <f t="shared" si="2"/>
        <v>5.9416736876031937E-3</v>
      </c>
      <c r="E99">
        <f t="shared" si="3"/>
        <v>-3.8066703071422381E-4</v>
      </c>
    </row>
    <row r="100" spans="1:5">
      <c r="A100" s="2">
        <v>45524</v>
      </c>
      <c r="B100">
        <v>22374.25</v>
      </c>
      <c r="C100">
        <v>1546.33154296875</v>
      </c>
      <c r="D100">
        <f t="shared" si="2"/>
        <v>6.1337041584945571E-3</v>
      </c>
      <c r="E100">
        <f t="shared" si="3"/>
        <v>-8.0291581549075276E-3</v>
      </c>
    </row>
    <row r="101" spans="1:5">
      <c r="A101" s="2">
        <v>45525</v>
      </c>
      <c r="B101">
        <v>22577.900390625</v>
      </c>
      <c r="C101">
        <v>1577.74597167968</v>
      </c>
      <c r="D101">
        <f t="shared" si="2"/>
        <v>9.1019985306770058E-3</v>
      </c>
      <c r="E101">
        <f t="shared" si="3"/>
        <v>2.0315454893081009E-2</v>
      </c>
    </row>
    <row r="102" spans="1:5">
      <c r="A102" s="2">
        <v>45526</v>
      </c>
      <c r="B102">
        <v>22546.099609375</v>
      </c>
      <c r="C102">
        <v>1569.0390625</v>
      </c>
      <c r="D102">
        <f t="shared" si="2"/>
        <v>-1.4084915204606275E-3</v>
      </c>
      <c r="E102">
        <f t="shared" si="3"/>
        <v>-5.5185748124018707E-3</v>
      </c>
    </row>
    <row r="103" spans="1:5">
      <c r="A103" s="2">
        <v>45527</v>
      </c>
      <c r="B103">
        <v>22527.849609375</v>
      </c>
      <c r="C103">
        <v>1557.90795898437</v>
      </c>
      <c r="D103">
        <f t="shared" si="2"/>
        <v>-8.0945264663034584E-4</v>
      </c>
      <c r="E103">
        <f t="shared" si="3"/>
        <v>-7.094216952058835E-3</v>
      </c>
    </row>
    <row r="104" spans="1:5">
      <c r="A104" s="2">
        <v>45530</v>
      </c>
      <c r="B104">
        <v>22554.94921875</v>
      </c>
      <c r="C104">
        <v>1577.10278320312</v>
      </c>
      <c r="D104">
        <f t="shared" si="2"/>
        <v>1.2029381341272119E-3</v>
      </c>
      <c r="E104">
        <f t="shared" si="3"/>
        <v>1.2320897462558362E-2</v>
      </c>
    </row>
    <row r="105" spans="1:5">
      <c r="A105" s="2">
        <v>45531</v>
      </c>
      <c r="B105">
        <v>22729</v>
      </c>
      <c r="C105">
        <v>1581.15954589843</v>
      </c>
      <c r="D105">
        <f t="shared" si="2"/>
        <v>7.7167445407197392E-3</v>
      </c>
      <c r="E105">
        <f t="shared" si="3"/>
        <v>2.5722880832602752E-3</v>
      </c>
    </row>
    <row r="106" spans="1:5">
      <c r="A106" s="2">
        <v>45532</v>
      </c>
      <c r="B106">
        <v>22989.099609375</v>
      </c>
      <c r="C106">
        <v>1601.09643554687</v>
      </c>
      <c r="D106">
        <f t="shared" si="2"/>
        <v>1.1443513105503981E-2</v>
      </c>
      <c r="E106">
        <f t="shared" si="3"/>
        <v>1.2609030948304251E-2</v>
      </c>
    </row>
    <row r="107" spans="1:5">
      <c r="A107" s="2">
        <v>45533</v>
      </c>
      <c r="B107">
        <v>22878.05078125</v>
      </c>
      <c r="C107">
        <v>1601.44287109375</v>
      </c>
      <c r="D107">
        <f t="shared" si="2"/>
        <v>-4.8304992371129693E-3</v>
      </c>
      <c r="E107">
        <f t="shared" si="3"/>
        <v>2.1637394174928246E-4</v>
      </c>
    </row>
    <row r="108" spans="1:5">
      <c r="A108" s="2">
        <v>45534</v>
      </c>
      <c r="B108">
        <v>23217.599609375</v>
      </c>
      <c r="C108">
        <v>1637.40869140625</v>
      </c>
      <c r="D108">
        <f t="shared" si="2"/>
        <v>1.4841685219235618E-2</v>
      </c>
      <c r="E108">
        <f t="shared" si="3"/>
        <v>2.2458384848868286E-2</v>
      </c>
    </row>
    <row r="109" spans="1:5">
      <c r="A109" s="2">
        <v>45537</v>
      </c>
      <c r="B109">
        <v>22987.44921875</v>
      </c>
      <c r="C109">
        <v>1629.24584960937</v>
      </c>
      <c r="D109">
        <f t="shared" si="2"/>
        <v>-9.9127556033858002E-3</v>
      </c>
      <c r="E109">
        <f t="shared" si="3"/>
        <v>-4.9852195360399225E-3</v>
      </c>
    </row>
    <row r="110" spans="1:5">
      <c r="A110" s="2">
        <v>45538</v>
      </c>
      <c r="B110">
        <v>23014.30078125</v>
      </c>
      <c r="C110">
        <v>1635.7265625</v>
      </c>
      <c r="D110">
        <f t="shared" si="2"/>
        <v>1.1680966532858369E-3</v>
      </c>
      <c r="E110">
        <f t="shared" si="3"/>
        <v>3.9777378547159268E-3</v>
      </c>
    </row>
    <row r="111" spans="1:5">
      <c r="A111" s="2">
        <v>45539</v>
      </c>
      <c r="B111">
        <v>23184.400390625</v>
      </c>
      <c r="C111">
        <v>1634.44030761718</v>
      </c>
      <c r="D111">
        <f t="shared" si="2"/>
        <v>7.3910396406038975E-3</v>
      </c>
      <c r="E111">
        <f t="shared" si="3"/>
        <v>-7.8635079499725575E-4</v>
      </c>
    </row>
    <row r="112" spans="1:5">
      <c r="A112" s="2">
        <v>45540</v>
      </c>
      <c r="B112">
        <v>23156.69921875</v>
      </c>
      <c r="C112">
        <v>1610.54553222656</v>
      </c>
      <c r="D112">
        <f t="shared" si="2"/>
        <v>-1.1948194220369585E-3</v>
      </c>
      <c r="E112">
        <f t="shared" si="3"/>
        <v>-1.4619546079021842E-2</v>
      </c>
    </row>
    <row r="113" spans="1:5">
      <c r="A113" s="2">
        <v>45541</v>
      </c>
      <c r="B113">
        <v>23043.400390625</v>
      </c>
      <c r="C113">
        <v>1594.02209472656</v>
      </c>
      <c r="D113">
        <f t="shared" si="2"/>
        <v>-4.8927019803090867E-3</v>
      </c>
      <c r="E113">
        <f t="shared" si="3"/>
        <v>-1.025952832091406E-2</v>
      </c>
    </row>
    <row r="114" spans="1:5">
      <c r="A114" s="2">
        <v>45544</v>
      </c>
      <c r="B114">
        <v>23009.400390625</v>
      </c>
      <c r="C114">
        <v>1603.02587890625</v>
      </c>
      <c r="D114">
        <f t="shared" si="2"/>
        <v>-1.4754766841543314E-3</v>
      </c>
      <c r="E114">
        <f t="shared" si="3"/>
        <v>5.6484688697081824E-3</v>
      </c>
    </row>
    <row r="115" spans="1:5">
      <c r="A115" s="2">
        <v>45545</v>
      </c>
      <c r="B115">
        <v>23256.849609375</v>
      </c>
      <c r="C115">
        <v>1614.75061035156</v>
      </c>
      <c r="D115">
        <f t="shared" si="2"/>
        <v>1.0754266280264359E-2</v>
      </c>
      <c r="E115">
        <f t="shared" si="3"/>
        <v>7.3141248682209812E-3</v>
      </c>
    </row>
    <row r="116" spans="1:5">
      <c r="A116" s="2">
        <v>45546</v>
      </c>
      <c r="B116">
        <v>23220.400390625</v>
      </c>
      <c r="C116">
        <v>1611.13916015625</v>
      </c>
      <c r="D116">
        <f t="shared" si="2"/>
        <v>-1.5672466117382924E-3</v>
      </c>
      <c r="E116">
        <f t="shared" si="3"/>
        <v>-2.23653743937816E-3</v>
      </c>
    </row>
    <row r="117" spans="1:5">
      <c r="A117" s="2">
        <v>45547</v>
      </c>
      <c r="B117">
        <v>23429.599609375</v>
      </c>
      <c r="C117">
        <v>1639.73376464843</v>
      </c>
      <c r="D117">
        <f t="shared" si="2"/>
        <v>9.0092855950262615E-3</v>
      </c>
      <c r="E117">
        <f t="shared" si="3"/>
        <v>1.774806621260876E-2</v>
      </c>
    </row>
    <row r="118" spans="1:5">
      <c r="A118" s="2">
        <v>45548</v>
      </c>
      <c r="B118">
        <v>23457.650390625</v>
      </c>
      <c r="C118">
        <v>1642.15783691406</v>
      </c>
      <c r="D118">
        <f t="shared" si="2"/>
        <v>1.1972369019390286E-3</v>
      </c>
      <c r="E118">
        <f t="shared" si="3"/>
        <v>1.47833283542206E-3</v>
      </c>
    </row>
    <row r="119" spans="1:5">
      <c r="A119" s="2">
        <v>45551</v>
      </c>
      <c r="B119">
        <v>23448.75</v>
      </c>
      <c r="C119">
        <v>1641.86108398437</v>
      </c>
      <c r="D119">
        <f t="shared" si="2"/>
        <v>-3.7942379039620686E-4</v>
      </c>
      <c r="E119">
        <f t="shared" si="3"/>
        <v>-1.807091395353681E-4</v>
      </c>
    </row>
    <row r="120" spans="1:5">
      <c r="A120" s="2">
        <v>45552</v>
      </c>
      <c r="B120">
        <v>23383.650390625</v>
      </c>
      <c r="C120">
        <v>1654.13000488281</v>
      </c>
      <c r="D120">
        <f t="shared" si="2"/>
        <v>-2.7762507329815024E-3</v>
      </c>
      <c r="E120">
        <f t="shared" si="3"/>
        <v>7.4725694019536172E-3</v>
      </c>
    </row>
    <row r="121" spans="1:5">
      <c r="A121" s="2">
        <v>45553</v>
      </c>
      <c r="B121">
        <v>23025.19921875</v>
      </c>
      <c r="C121">
        <v>1634.14343261718</v>
      </c>
      <c r="D121">
        <f t="shared" si="2"/>
        <v>-1.5329136635514815E-2</v>
      </c>
      <c r="E121">
        <f t="shared" si="3"/>
        <v>-1.2082830374052727E-2</v>
      </c>
    </row>
    <row r="122" spans="1:5">
      <c r="A122" s="2">
        <v>45554</v>
      </c>
      <c r="B122">
        <v>22930.150390625</v>
      </c>
      <c r="C122">
        <v>1620.39038085937</v>
      </c>
      <c r="D122">
        <f t="shared" si="2"/>
        <v>-4.1280349942683378E-3</v>
      </c>
      <c r="E122">
        <f t="shared" si="3"/>
        <v>-8.4160615789910503E-3</v>
      </c>
    </row>
    <row r="123" spans="1:5">
      <c r="A123" s="2">
        <v>45555</v>
      </c>
      <c r="B123">
        <v>23005.25</v>
      </c>
      <c r="C123">
        <v>1621.33044433593</v>
      </c>
      <c r="D123">
        <f t="shared" si="2"/>
        <v>3.2751468305111729E-3</v>
      </c>
      <c r="E123">
        <f t="shared" si="3"/>
        <v>5.801462954016294E-4</v>
      </c>
    </row>
    <row r="124" spans="1:5">
      <c r="A124" s="2">
        <v>45558</v>
      </c>
      <c r="B124">
        <v>23134.25</v>
      </c>
      <c r="C124">
        <v>1640.62426757812</v>
      </c>
      <c r="D124">
        <f t="shared" si="2"/>
        <v>5.6074156985905389E-3</v>
      </c>
      <c r="E124">
        <f t="shared" si="3"/>
        <v>1.1899994420996906E-2</v>
      </c>
    </row>
    <row r="125" spans="1:5">
      <c r="A125" s="2">
        <v>45559</v>
      </c>
      <c r="B125">
        <v>23188.400390625</v>
      </c>
      <c r="C125">
        <v>1620.24206542968</v>
      </c>
      <c r="D125">
        <f t="shared" si="2"/>
        <v>2.3407022326204655E-3</v>
      </c>
      <c r="E125">
        <f t="shared" si="3"/>
        <v>-1.2423443046181494E-2</v>
      </c>
    </row>
    <row r="126" spans="1:5">
      <c r="A126" s="2">
        <v>45560</v>
      </c>
      <c r="B126">
        <v>23249</v>
      </c>
      <c r="C126">
        <v>1625.83227539062</v>
      </c>
      <c r="D126">
        <f t="shared" si="2"/>
        <v>2.6133587636127001E-3</v>
      </c>
      <c r="E126">
        <f t="shared" si="3"/>
        <v>3.4502313451894645E-3</v>
      </c>
    </row>
    <row r="127" spans="1:5">
      <c r="A127" s="2">
        <v>45561</v>
      </c>
      <c r="B127">
        <v>23250.900390625</v>
      </c>
      <c r="C127">
        <v>1604.65856933593</v>
      </c>
      <c r="D127">
        <f t="shared" si="2"/>
        <v>8.1740746913845755E-5</v>
      </c>
      <c r="E127">
        <f t="shared" si="3"/>
        <v>-1.3023302818615062E-2</v>
      </c>
    </row>
    <row r="128" spans="1:5">
      <c r="A128" s="2">
        <v>45562</v>
      </c>
      <c r="B128">
        <v>23519.099609375</v>
      </c>
      <c r="C128">
        <v>1654.82263183593</v>
      </c>
      <c r="D128">
        <f t="shared" si="2"/>
        <v>1.1535003558749951E-2</v>
      </c>
      <c r="E128">
        <f t="shared" si="3"/>
        <v>3.1261517844733681E-2</v>
      </c>
    </row>
    <row r="129" spans="1:5">
      <c r="A129" s="2">
        <v>45565</v>
      </c>
      <c r="B129">
        <v>23281.19921875</v>
      </c>
      <c r="C129">
        <v>1636.61706542968</v>
      </c>
      <c r="D129">
        <f t="shared" si="2"/>
        <v>-1.0115199755783594E-2</v>
      </c>
      <c r="E129">
        <f t="shared" si="3"/>
        <v>-1.1001521284520975E-2</v>
      </c>
    </row>
    <row r="130" spans="1:5">
      <c r="A130" s="2">
        <v>45566</v>
      </c>
      <c r="B130">
        <v>23296.55078125</v>
      </c>
      <c r="C130">
        <v>1647.25341796875</v>
      </c>
      <c r="D130">
        <f t="shared" si="2"/>
        <v>6.5939741143730679E-4</v>
      </c>
      <c r="E130">
        <f t="shared" si="3"/>
        <v>6.4989866986859988E-3</v>
      </c>
    </row>
    <row r="131" spans="1:5">
      <c r="A131" s="2">
        <v>45568</v>
      </c>
      <c r="B131">
        <v>23178.75</v>
      </c>
      <c r="C131">
        <v>1639.04125976562</v>
      </c>
      <c r="D131">
        <f t="shared" si="2"/>
        <v>-5.0565760724034219E-3</v>
      </c>
      <c r="E131">
        <f t="shared" si="3"/>
        <v>-4.9853641908095252E-3</v>
      </c>
    </row>
    <row r="132" spans="1:5">
      <c r="A132" s="2">
        <v>45569</v>
      </c>
      <c r="B132">
        <v>23094.69921875</v>
      </c>
      <c r="C132">
        <v>1606.14270019531</v>
      </c>
      <c r="D132">
        <f t="shared" si="2"/>
        <v>-3.6261999137140702E-3</v>
      </c>
      <c r="E132">
        <f t="shared" si="3"/>
        <v>-2.0071831245428461E-2</v>
      </c>
    </row>
    <row r="133" spans="1:5">
      <c r="A133" s="2">
        <v>45572</v>
      </c>
      <c r="B133">
        <v>22977.80078125</v>
      </c>
      <c r="C133">
        <v>1607.47839355468</v>
      </c>
      <c r="D133">
        <f t="shared" si="2"/>
        <v>-5.0616999335108522E-3</v>
      </c>
      <c r="E133">
        <f t="shared" si="3"/>
        <v>8.3161562120699173E-4</v>
      </c>
    </row>
    <row r="134" spans="1:5">
      <c r="A134" s="2">
        <v>45573</v>
      </c>
      <c r="B134">
        <v>23307.94921875</v>
      </c>
      <c r="C134">
        <v>1623.35864257812</v>
      </c>
      <c r="D134">
        <f t="shared" si="2"/>
        <v>1.4368147789382993E-2</v>
      </c>
      <c r="E134">
        <f t="shared" si="3"/>
        <v>9.8789813207525515E-3</v>
      </c>
    </row>
    <row r="135" spans="1:5">
      <c r="A135" s="2">
        <v>45574</v>
      </c>
      <c r="B135">
        <v>23783.80078125</v>
      </c>
      <c r="C135">
        <v>1662.73803710937</v>
      </c>
      <c r="D135">
        <f t="shared" si="2"/>
        <v>2.0415848603153933E-2</v>
      </c>
      <c r="E135">
        <f t="shared" si="3"/>
        <v>2.4257975716758452E-2</v>
      </c>
    </row>
    <row r="136" spans="1:5">
      <c r="A136" s="2">
        <v>45575</v>
      </c>
      <c r="B136">
        <v>23305.150390625</v>
      </c>
      <c r="C136">
        <v>1601.78918457031</v>
      </c>
      <c r="D136">
        <f t="shared" ref="D136:D199" si="4">(B136-B135)/B135</f>
        <v>-2.0125058859488298E-2</v>
      </c>
      <c r="E136">
        <f t="shared" ref="E136:E199" si="5">(C136-C135)/C135</f>
        <v>-3.6655715559991704E-2</v>
      </c>
    </row>
    <row r="137" spans="1:5">
      <c r="A137" s="2">
        <v>45576</v>
      </c>
      <c r="B137">
        <v>23582.25</v>
      </c>
      <c r="C137">
        <v>1578.8837890625</v>
      </c>
      <c r="D137">
        <f t="shared" si="4"/>
        <v>1.1890058838087109E-2</v>
      </c>
      <c r="E137">
        <f t="shared" si="5"/>
        <v>-1.4299881487809219E-2</v>
      </c>
    </row>
    <row r="138" spans="1:5">
      <c r="A138" s="2">
        <v>45579</v>
      </c>
      <c r="B138">
        <v>23680</v>
      </c>
      <c r="C138">
        <v>1581.55517578125</v>
      </c>
      <c r="D138">
        <f t="shared" si="4"/>
        <v>4.1450667345143064E-3</v>
      </c>
      <c r="E138">
        <f t="shared" si="5"/>
        <v>1.6919463846900345E-3</v>
      </c>
    </row>
    <row r="139" spans="1:5">
      <c r="A139" s="2">
        <v>45580</v>
      </c>
      <c r="B139">
        <v>23555.69921875</v>
      </c>
      <c r="C139">
        <v>1555.13745117187</v>
      </c>
      <c r="D139">
        <f t="shared" si="4"/>
        <v>-5.249188397381757E-3</v>
      </c>
      <c r="E139">
        <f t="shared" si="5"/>
        <v>-1.6703637668746073E-2</v>
      </c>
    </row>
    <row r="140" spans="1:5">
      <c r="A140" s="2">
        <v>45581</v>
      </c>
      <c r="B140">
        <v>23467.349609375</v>
      </c>
      <c r="C140">
        <v>1545.68835449218</v>
      </c>
      <c r="D140">
        <f t="shared" si="4"/>
        <v>-3.7506680890489114E-3</v>
      </c>
      <c r="E140">
        <f t="shared" si="5"/>
        <v>-6.0760524238996734E-3</v>
      </c>
    </row>
    <row r="141" spans="1:5">
      <c r="A141" s="2">
        <v>45582</v>
      </c>
      <c r="B141">
        <v>23254</v>
      </c>
      <c r="C141">
        <v>1542.22534179687</v>
      </c>
      <c r="D141">
        <f t="shared" si="4"/>
        <v>-9.0913380899975468E-3</v>
      </c>
      <c r="E141">
        <f t="shared" si="5"/>
        <v>-2.240433969270433E-3</v>
      </c>
    </row>
    <row r="142" spans="1:5">
      <c r="A142" s="2">
        <v>45583</v>
      </c>
      <c r="B142">
        <v>23356.19921875</v>
      </c>
      <c r="C142">
        <v>1535.29931640625</v>
      </c>
      <c r="D142">
        <f t="shared" si="4"/>
        <v>4.3949092091683153E-3</v>
      </c>
      <c r="E142">
        <f t="shared" si="5"/>
        <v>-4.4909295697024279E-3</v>
      </c>
    </row>
    <row r="143" spans="1:5">
      <c r="A143" s="2">
        <v>45586</v>
      </c>
      <c r="B143">
        <v>23122.69921875</v>
      </c>
      <c r="C143">
        <v>1507.64477539062</v>
      </c>
      <c r="D143">
        <f t="shared" si="4"/>
        <v>-9.9973457929982794E-3</v>
      </c>
      <c r="E143">
        <f t="shared" si="5"/>
        <v>-1.801247530049211E-2</v>
      </c>
    </row>
    <row r="144" spans="1:5">
      <c r="A144" s="2">
        <v>45587</v>
      </c>
      <c r="B144">
        <v>22828.19921875</v>
      </c>
      <c r="C144">
        <v>1494.38635253906</v>
      </c>
      <c r="D144">
        <f t="shared" si="4"/>
        <v>-1.2736402321109314E-2</v>
      </c>
      <c r="E144">
        <f t="shared" si="5"/>
        <v>-8.794129139687322E-3</v>
      </c>
    </row>
    <row r="145" spans="1:5">
      <c r="A145" s="2">
        <v>45588</v>
      </c>
      <c r="B145">
        <v>22471.599609375</v>
      </c>
      <c r="C145">
        <v>1469.89794921875</v>
      </c>
      <c r="D145">
        <f t="shared" si="4"/>
        <v>-1.562101355248845E-2</v>
      </c>
      <c r="E145">
        <f t="shared" si="5"/>
        <v>-1.6386929175780149E-2</v>
      </c>
    </row>
    <row r="146" spans="1:5">
      <c r="A146" s="2">
        <v>45589</v>
      </c>
      <c r="B146">
        <v>22570.80078125</v>
      </c>
      <c r="C146">
        <v>1476.52722167968</v>
      </c>
      <c r="D146">
        <f t="shared" si="4"/>
        <v>4.4145131454555618E-3</v>
      </c>
      <c r="E146">
        <f t="shared" si="5"/>
        <v>4.5100222532138724E-3</v>
      </c>
    </row>
    <row r="147" spans="1:5">
      <c r="A147" s="2">
        <v>45590</v>
      </c>
      <c r="B147">
        <v>22574.55078125</v>
      </c>
      <c r="C147">
        <v>1473.16320800781</v>
      </c>
      <c r="D147">
        <f t="shared" si="4"/>
        <v>1.6614386154678205E-4</v>
      </c>
      <c r="E147">
        <f t="shared" si="5"/>
        <v>-2.2783282437848556E-3</v>
      </c>
    </row>
    <row r="148" spans="1:5">
      <c r="A148" s="2">
        <v>45593</v>
      </c>
      <c r="B148">
        <v>22857.25</v>
      </c>
      <c r="C148">
        <v>1487.26257324218</v>
      </c>
      <c r="D148">
        <f t="shared" si="4"/>
        <v>1.2522916690098865E-2</v>
      </c>
      <c r="E148">
        <f t="shared" si="5"/>
        <v>9.5708100485599763E-3</v>
      </c>
    </row>
    <row r="149" spans="1:5">
      <c r="A149" s="2">
        <v>45594</v>
      </c>
      <c r="B149">
        <v>22601.400390625</v>
      </c>
      <c r="C149">
        <v>1461.93310546875</v>
      </c>
      <c r="D149">
        <f t="shared" si="4"/>
        <v>-1.1193367941244025E-2</v>
      </c>
      <c r="E149">
        <f t="shared" si="5"/>
        <v>-1.7030932015059487E-2</v>
      </c>
    </row>
    <row r="150" spans="1:5">
      <c r="A150" s="2">
        <v>45595</v>
      </c>
      <c r="B150">
        <v>22374.94921875</v>
      </c>
      <c r="C150">
        <v>1403.25988769531</v>
      </c>
      <c r="D150">
        <f t="shared" si="4"/>
        <v>-1.0019342516888083E-2</v>
      </c>
      <c r="E150">
        <f t="shared" si="5"/>
        <v>-4.013399625055155E-2</v>
      </c>
    </row>
    <row r="151" spans="1:5">
      <c r="A151" s="2">
        <v>45596</v>
      </c>
      <c r="B151">
        <v>22735.55078125</v>
      </c>
      <c r="C151">
        <v>1535.34887695312</v>
      </c>
      <c r="D151">
        <f t="shared" si="4"/>
        <v>1.6116307526535936E-2</v>
      </c>
      <c r="E151">
        <f t="shared" si="5"/>
        <v>9.4130096937888458E-2</v>
      </c>
    </row>
    <row r="152" spans="1:5">
      <c r="A152" s="2">
        <v>45597</v>
      </c>
      <c r="B152">
        <v>22807.150390625</v>
      </c>
      <c r="C152">
        <v>1543.06640625</v>
      </c>
      <c r="D152">
        <f t="shared" si="4"/>
        <v>3.1492357525839299E-3</v>
      </c>
      <c r="E152">
        <f t="shared" si="5"/>
        <v>5.0265639378297778E-3</v>
      </c>
    </row>
    <row r="153" spans="1:5">
      <c r="A153" s="2">
        <v>45600</v>
      </c>
      <c r="B153">
        <v>22638.30078125</v>
      </c>
      <c r="C153">
        <v>1567.8515625</v>
      </c>
      <c r="D153">
        <f t="shared" si="4"/>
        <v>-7.4033628262655084E-3</v>
      </c>
      <c r="E153">
        <f t="shared" si="5"/>
        <v>1.6062274539586103E-2</v>
      </c>
    </row>
    <row r="154" spans="1:5">
      <c r="A154" s="2">
        <v>45601</v>
      </c>
      <c r="B154">
        <v>22661.25</v>
      </c>
      <c r="C154">
        <v>1584.27612304687</v>
      </c>
      <c r="D154">
        <f t="shared" si="4"/>
        <v>1.0137341566292606E-3</v>
      </c>
      <c r="E154">
        <f t="shared" si="5"/>
        <v>1.0475839001416945E-2</v>
      </c>
    </row>
    <row r="155" spans="1:5">
      <c r="A155" s="2">
        <v>45602</v>
      </c>
      <c r="B155">
        <v>22920.349609375</v>
      </c>
      <c r="C155">
        <v>1577.20178222656</v>
      </c>
      <c r="D155">
        <f t="shared" si="4"/>
        <v>1.1433597412984721E-2</v>
      </c>
      <c r="E155">
        <f t="shared" si="5"/>
        <v>-4.4653458556862362E-3</v>
      </c>
    </row>
    <row r="156" spans="1:5">
      <c r="A156" s="2">
        <v>45603</v>
      </c>
      <c r="B156">
        <v>22526.94921875</v>
      </c>
      <c r="C156">
        <v>1559.49096679687</v>
      </c>
      <c r="D156">
        <f t="shared" si="4"/>
        <v>-1.716380410114204E-2</v>
      </c>
      <c r="E156">
        <f t="shared" si="5"/>
        <v>-1.1229264149503667E-2</v>
      </c>
    </row>
    <row r="157" spans="1:5">
      <c r="A157" s="2">
        <v>45604</v>
      </c>
      <c r="B157">
        <v>22542.25</v>
      </c>
      <c r="C157">
        <v>1575.76708984375</v>
      </c>
      <c r="D157">
        <f t="shared" si="4"/>
        <v>6.7922118975900217E-4</v>
      </c>
      <c r="E157">
        <f t="shared" si="5"/>
        <v>1.0436817777989753E-2</v>
      </c>
    </row>
    <row r="158" spans="1:5">
      <c r="A158" s="2">
        <v>45607</v>
      </c>
      <c r="B158">
        <v>22344.25</v>
      </c>
      <c r="C158">
        <v>1536.38781738281</v>
      </c>
      <c r="D158">
        <f t="shared" si="4"/>
        <v>-8.783506526633322E-3</v>
      </c>
      <c r="E158">
        <f t="shared" si="5"/>
        <v>-2.4990541251146942E-2</v>
      </c>
    </row>
    <row r="159" spans="1:5">
      <c r="A159" s="2">
        <v>45608</v>
      </c>
      <c r="B159">
        <v>22151.599609375</v>
      </c>
      <c r="C159">
        <v>1509.03002929687</v>
      </c>
      <c r="D159">
        <f t="shared" si="4"/>
        <v>-8.6219224464907079E-3</v>
      </c>
      <c r="E159">
        <f t="shared" si="5"/>
        <v>-1.7806564056556479E-2</v>
      </c>
    </row>
    <row r="160" spans="1:5">
      <c r="A160" s="2">
        <v>45609</v>
      </c>
      <c r="B160">
        <v>21809.30078125</v>
      </c>
      <c r="C160">
        <v>1489.68664550781</v>
      </c>
      <c r="D160">
        <f t="shared" si="4"/>
        <v>-1.5452555759455507E-2</v>
      </c>
      <c r="E160">
        <f t="shared" si="5"/>
        <v>-1.2818422041656133E-2</v>
      </c>
    </row>
    <row r="161" spans="1:5">
      <c r="A161" s="2">
        <v>45610</v>
      </c>
      <c r="B161">
        <v>21752</v>
      </c>
      <c r="C161">
        <v>1483.8984375</v>
      </c>
      <c r="D161">
        <f t="shared" si="4"/>
        <v>-2.627355265752624E-3</v>
      </c>
      <c r="E161">
        <f t="shared" si="5"/>
        <v>-3.8855205054462261E-3</v>
      </c>
    </row>
    <row r="162" spans="1:5">
      <c r="A162" s="2">
        <v>45614</v>
      </c>
      <c r="B162">
        <v>21544.150390625</v>
      </c>
      <c r="C162">
        <v>1449.76306152343</v>
      </c>
      <c r="D162">
        <f t="shared" si="4"/>
        <v>-9.5554252195200438E-3</v>
      </c>
      <c r="E162">
        <f t="shared" si="5"/>
        <v>-2.3003849262136583E-2</v>
      </c>
    </row>
    <row r="163" spans="1:5">
      <c r="A163" s="2">
        <v>45615</v>
      </c>
      <c r="B163">
        <v>21768.849609375</v>
      </c>
      <c r="C163">
        <v>1455.99658203125</v>
      </c>
      <c r="D163">
        <f t="shared" si="4"/>
        <v>1.0429708977884712E-2</v>
      </c>
      <c r="E163">
        <f t="shared" si="5"/>
        <v>4.299682253781344E-3</v>
      </c>
    </row>
    <row r="164" spans="1:5">
      <c r="A164" s="2">
        <v>45617</v>
      </c>
      <c r="B164">
        <v>21740.099609375</v>
      </c>
      <c r="C164">
        <v>1450.01049804687</v>
      </c>
      <c r="D164">
        <f t="shared" si="4"/>
        <v>-1.3206945022771661E-3</v>
      </c>
      <c r="E164">
        <f t="shared" si="5"/>
        <v>-4.1113310692178009E-3</v>
      </c>
    </row>
    <row r="165" spans="1:5">
      <c r="A165" s="2">
        <v>45618</v>
      </c>
      <c r="B165">
        <v>21962.05078125</v>
      </c>
      <c r="C165">
        <v>1470.78845214843</v>
      </c>
      <c r="D165">
        <f t="shared" si="4"/>
        <v>1.0209298754973865E-2</v>
      </c>
      <c r="E165">
        <f t="shared" si="5"/>
        <v>1.4329519772130902E-2</v>
      </c>
    </row>
    <row r="166" spans="1:5">
      <c r="A166" s="2">
        <v>45621</v>
      </c>
      <c r="B166">
        <v>22177.05078125</v>
      </c>
      <c r="C166">
        <v>1487.41101074218</v>
      </c>
      <c r="D166">
        <f t="shared" si="4"/>
        <v>9.7896140092506873E-3</v>
      </c>
      <c r="E166">
        <f t="shared" si="5"/>
        <v>1.1301801132221885E-2</v>
      </c>
    </row>
    <row r="167" spans="1:5">
      <c r="A167" s="2">
        <v>45622</v>
      </c>
      <c r="B167">
        <v>21961.75</v>
      </c>
      <c r="C167">
        <v>1476.92297363281</v>
      </c>
      <c r="D167">
        <f t="shared" si="4"/>
        <v>-9.7082692993619348E-3</v>
      </c>
      <c r="E167">
        <f t="shared" si="5"/>
        <v>-7.0512030861844543E-3</v>
      </c>
    </row>
    <row r="168" spans="1:5">
      <c r="A168" s="2">
        <v>45623</v>
      </c>
      <c r="B168">
        <v>21828.599609375</v>
      </c>
      <c r="C168">
        <v>1475.38940429687</v>
      </c>
      <c r="D168">
        <f t="shared" si="4"/>
        <v>-6.0628315423406605E-3</v>
      </c>
      <c r="E168">
        <f t="shared" si="5"/>
        <v>-1.0383543104945123E-3</v>
      </c>
    </row>
    <row r="169" spans="1:5">
      <c r="A169" s="2">
        <v>45624</v>
      </c>
      <c r="B169">
        <v>21728.599609375</v>
      </c>
      <c r="C169">
        <v>1476.97241210937</v>
      </c>
      <c r="D169">
        <f t="shared" si="4"/>
        <v>-4.5811459181766181E-3</v>
      </c>
      <c r="E169">
        <f t="shared" si="5"/>
        <v>1.0729423756804177E-3</v>
      </c>
    </row>
    <row r="170" spans="1:5">
      <c r="A170" s="2">
        <v>45625</v>
      </c>
      <c r="B170">
        <v>22240.19921875</v>
      </c>
      <c r="C170">
        <v>1517.6875</v>
      </c>
      <c r="D170">
        <f t="shared" si="4"/>
        <v>2.3544987646339884E-2</v>
      </c>
      <c r="E170">
        <f t="shared" si="5"/>
        <v>2.7566586590796149E-2</v>
      </c>
    </row>
    <row r="171" spans="1:5">
      <c r="A171" s="2">
        <v>45628</v>
      </c>
      <c r="B171">
        <v>22450.19921875</v>
      </c>
      <c r="C171">
        <v>1491.76440429687</v>
      </c>
      <c r="D171">
        <f t="shared" si="4"/>
        <v>9.4423614615356376E-3</v>
      </c>
      <c r="E171">
        <f t="shared" si="5"/>
        <v>-1.7080654418732449E-2</v>
      </c>
    </row>
    <row r="172" spans="1:5">
      <c r="A172" s="2">
        <v>45629</v>
      </c>
      <c r="B172">
        <v>22445.69921875</v>
      </c>
      <c r="C172">
        <v>1517.6875</v>
      </c>
      <c r="D172">
        <f t="shared" si="4"/>
        <v>-2.0044365558420887E-4</v>
      </c>
      <c r="E172">
        <f t="shared" si="5"/>
        <v>1.7377473030232696E-2</v>
      </c>
    </row>
    <row r="173" spans="1:5">
      <c r="A173" s="2">
        <v>45630</v>
      </c>
      <c r="B173">
        <v>22422.900390625</v>
      </c>
      <c r="C173">
        <v>1484.98681640625</v>
      </c>
      <c r="D173">
        <f t="shared" si="4"/>
        <v>-1.0157325865774328E-3</v>
      </c>
      <c r="E173">
        <f t="shared" si="5"/>
        <v>-2.1546387905118806E-2</v>
      </c>
    </row>
    <row r="174" spans="1:5">
      <c r="A174" s="2">
        <v>45631</v>
      </c>
      <c r="B174">
        <v>22463.400390625</v>
      </c>
      <c r="C174">
        <v>1482.41430664062</v>
      </c>
      <c r="D174">
        <f t="shared" si="4"/>
        <v>1.8061891768886877E-3</v>
      </c>
      <c r="E174">
        <f t="shared" si="5"/>
        <v>-1.7323451879900306E-3</v>
      </c>
    </row>
    <row r="175" spans="1:5">
      <c r="A175" s="2">
        <v>45632</v>
      </c>
      <c r="B175">
        <v>22434.75</v>
      </c>
      <c r="C175">
        <v>1461.78466796875</v>
      </c>
      <c r="D175">
        <f t="shared" si="4"/>
        <v>-1.2754253642274531E-3</v>
      </c>
      <c r="E175">
        <f t="shared" si="5"/>
        <v>-1.391624364353306E-2</v>
      </c>
    </row>
    <row r="176" spans="1:5">
      <c r="A176" s="2">
        <v>45635</v>
      </c>
      <c r="B176">
        <v>22309.099609375</v>
      </c>
      <c r="C176">
        <v>1453.47351074218</v>
      </c>
      <c r="D176">
        <f t="shared" si="4"/>
        <v>-5.6007038467110176E-3</v>
      </c>
      <c r="E176">
        <f t="shared" si="5"/>
        <v>-5.6856234770329929E-3</v>
      </c>
    </row>
    <row r="177" spans="1:5">
      <c r="A177" s="2">
        <v>45636</v>
      </c>
      <c r="B177">
        <v>22291.44921875</v>
      </c>
      <c r="C177">
        <v>1439.8193359375</v>
      </c>
      <c r="D177">
        <f t="shared" si="4"/>
        <v>-7.9117449534282141E-4</v>
      </c>
      <c r="E177">
        <f t="shared" si="5"/>
        <v>-9.3941683173213338E-3</v>
      </c>
    </row>
    <row r="178" spans="1:5">
      <c r="A178" s="2">
        <v>45637</v>
      </c>
      <c r="B178">
        <v>22302.599609375</v>
      </c>
      <c r="C178">
        <v>1438.73095703125</v>
      </c>
      <c r="D178">
        <f t="shared" si="4"/>
        <v>5.0020931863061977E-4</v>
      </c>
      <c r="E178">
        <f t="shared" si="5"/>
        <v>-7.5591352267910126E-4</v>
      </c>
    </row>
    <row r="179" spans="1:5">
      <c r="A179" s="2">
        <v>45638</v>
      </c>
      <c r="B179">
        <v>22229.30078125</v>
      </c>
      <c r="C179">
        <v>1430.12292480468</v>
      </c>
      <c r="D179">
        <f t="shared" si="4"/>
        <v>-3.2865598364680546E-3</v>
      </c>
      <c r="E179">
        <f t="shared" si="5"/>
        <v>-5.9830729188814083E-3</v>
      </c>
    </row>
    <row r="180" spans="1:5">
      <c r="A180" s="2">
        <v>45639</v>
      </c>
      <c r="B180">
        <v>22157.349609375</v>
      </c>
      <c r="C180">
        <v>1432.0029296875</v>
      </c>
      <c r="D180">
        <f t="shared" si="4"/>
        <v>-3.2367717087929942E-3</v>
      </c>
      <c r="E180">
        <f t="shared" si="5"/>
        <v>1.3145757264724403E-3</v>
      </c>
    </row>
    <row r="181" spans="1:5">
      <c r="A181" s="2">
        <v>45642</v>
      </c>
      <c r="B181">
        <v>22255.55078125</v>
      </c>
      <c r="C181">
        <v>1433.140625</v>
      </c>
      <c r="D181">
        <f t="shared" si="4"/>
        <v>4.4319909017209386E-3</v>
      </c>
      <c r="E181">
        <f t="shared" si="5"/>
        <v>7.9447834142928355E-4</v>
      </c>
    </row>
    <row r="182" spans="1:5">
      <c r="A182" s="2">
        <v>45643</v>
      </c>
      <c r="B182">
        <v>22074.55078125</v>
      </c>
      <c r="C182">
        <v>1435.51525878906</v>
      </c>
      <c r="D182">
        <f t="shared" si="4"/>
        <v>-8.1328025434665961E-3</v>
      </c>
      <c r="E182">
        <f t="shared" si="5"/>
        <v>1.6569440204515862E-3</v>
      </c>
    </row>
    <row r="183" spans="1:5">
      <c r="A183" s="2">
        <v>45644</v>
      </c>
      <c r="B183">
        <v>22314.55078125</v>
      </c>
      <c r="C183">
        <v>1456.83752441406</v>
      </c>
      <c r="D183">
        <f t="shared" si="4"/>
        <v>1.0872248426629576E-2</v>
      </c>
      <c r="E183">
        <f t="shared" si="5"/>
        <v>1.4853388352685685E-2</v>
      </c>
    </row>
    <row r="184" spans="1:5">
      <c r="A184" s="2">
        <v>45645</v>
      </c>
      <c r="B184">
        <v>22697.900390625</v>
      </c>
      <c r="C184">
        <v>1490.62658691406</v>
      </c>
      <c r="D184">
        <f t="shared" si="4"/>
        <v>1.7179355889033309E-2</v>
      </c>
      <c r="E184">
        <f t="shared" si="5"/>
        <v>2.3193432303708652E-2</v>
      </c>
    </row>
    <row r="185" spans="1:5">
      <c r="A185" s="2">
        <v>45646</v>
      </c>
      <c r="B185">
        <v>22501.849609375</v>
      </c>
      <c r="C185">
        <v>1456.49133300781</v>
      </c>
      <c r="D185">
        <f t="shared" si="4"/>
        <v>-8.6373971986843153E-3</v>
      </c>
      <c r="E185">
        <f t="shared" si="5"/>
        <v>-2.2899936312633352E-2</v>
      </c>
    </row>
    <row r="186" spans="1:5">
      <c r="A186" s="2">
        <v>45649</v>
      </c>
      <c r="B186">
        <v>22572.05078125</v>
      </c>
      <c r="C186">
        <v>1460.44897460937</v>
      </c>
      <c r="D186">
        <f t="shared" si="4"/>
        <v>3.1197956209676166E-3</v>
      </c>
      <c r="E186">
        <f t="shared" si="5"/>
        <v>2.7172434959753908E-3</v>
      </c>
    </row>
    <row r="187" spans="1:5">
      <c r="A187" s="2">
        <v>45650</v>
      </c>
      <c r="B187">
        <v>22558.900390625</v>
      </c>
      <c r="C187">
        <v>1460.15209960937</v>
      </c>
      <c r="D187">
        <f t="shared" si="4"/>
        <v>-5.8259618288311133E-4</v>
      </c>
      <c r="E187">
        <f t="shared" si="5"/>
        <v>-2.0327653013649854E-4</v>
      </c>
    </row>
    <row r="188" spans="1:5">
      <c r="A188" s="2">
        <v>45652</v>
      </c>
      <c r="B188">
        <v>22712.55078125</v>
      </c>
      <c r="C188">
        <v>1474.79577636718</v>
      </c>
      <c r="D188">
        <f t="shared" si="4"/>
        <v>6.8110762477081484E-3</v>
      </c>
      <c r="E188">
        <f t="shared" si="5"/>
        <v>1.0028870801697698E-2</v>
      </c>
    </row>
    <row r="189" spans="1:5">
      <c r="A189" s="2">
        <v>45653</v>
      </c>
      <c r="B189">
        <v>23008.349609375</v>
      </c>
      <c r="C189">
        <v>1490.67602539062</v>
      </c>
      <c r="D189">
        <f t="shared" si="4"/>
        <v>1.3023584667962183E-2</v>
      </c>
      <c r="E189">
        <f t="shared" si="5"/>
        <v>1.0767761393077311E-2</v>
      </c>
    </row>
    <row r="190" spans="1:5">
      <c r="A190" s="2">
        <v>45656</v>
      </c>
      <c r="B190">
        <v>23241.150390625</v>
      </c>
      <c r="C190">
        <v>1505.31970214843</v>
      </c>
      <c r="D190">
        <f t="shared" si="4"/>
        <v>1.0118099959466142E-2</v>
      </c>
      <c r="E190">
        <f t="shared" si="5"/>
        <v>9.823513968417609E-3</v>
      </c>
    </row>
    <row r="191" spans="1:5">
      <c r="A191" s="2">
        <v>45657</v>
      </c>
      <c r="B191">
        <v>23412.25</v>
      </c>
      <c r="C191">
        <v>1512.83935546875</v>
      </c>
      <c r="D191">
        <f t="shared" si="4"/>
        <v>7.3619251413655513E-3</v>
      </c>
      <c r="E191">
        <f t="shared" si="5"/>
        <v>4.9953862356200912E-3</v>
      </c>
    </row>
    <row r="192" spans="1:5">
      <c r="A192" s="2">
        <v>45658</v>
      </c>
      <c r="B192">
        <v>23459.75</v>
      </c>
      <c r="C192">
        <v>1512.93823242187</v>
      </c>
      <c r="D192">
        <f t="shared" si="4"/>
        <v>2.0288524170039191E-3</v>
      </c>
      <c r="E192">
        <f t="shared" si="5"/>
        <v>6.5358527832164282E-5</v>
      </c>
    </row>
    <row r="193" spans="1:5">
      <c r="A193" s="2">
        <v>45659</v>
      </c>
      <c r="B193">
        <v>23553.400390625</v>
      </c>
      <c r="C193">
        <v>1521.64526367187</v>
      </c>
      <c r="D193">
        <f t="shared" si="4"/>
        <v>3.9919602990227945E-3</v>
      </c>
      <c r="E193">
        <f t="shared" si="5"/>
        <v>5.755047406041173E-3</v>
      </c>
    </row>
    <row r="194" spans="1:5">
      <c r="A194" s="2">
        <v>45660</v>
      </c>
      <c r="B194">
        <v>23263.5</v>
      </c>
      <c r="C194">
        <v>1495.27685546875</v>
      </c>
      <c r="D194">
        <f t="shared" si="4"/>
        <v>-1.2308218168803751E-2</v>
      </c>
      <c r="E194">
        <f t="shared" si="5"/>
        <v>-1.7328880017337681E-2</v>
      </c>
    </row>
    <row r="195" spans="1:5">
      <c r="A195" s="2">
        <v>45663</v>
      </c>
      <c r="B195">
        <v>23073.05078125</v>
      </c>
      <c r="C195">
        <v>1475.63671875</v>
      </c>
      <c r="D195">
        <f t="shared" si="4"/>
        <v>-8.1866107314032717E-3</v>
      </c>
      <c r="E195">
        <f t="shared" si="5"/>
        <v>-1.3134782797526195E-2</v>
      </c>
    </row>
    <row r="196" spans="1:5">
      <c r="A196" s="2">
        <v>45664</v>
      </c>
      <c r="B196">
        <v>23228.55078125</v>
      </c>
      <c r="C196">
        <v>1481.62268066406</v>
      </c>
      <c r="D196">
        <f t="shared" si="4"/>
        <v>6.739464211917956E-3</v>
      </c>
      <c r="E196">
        <f t="shared" si="5"/>
        <v>4.0565281671295491E-3</v>
      </c>
    </row>
    <row r="197" spans="1:5">
      <c r="A197" s="2">
        <v>45665</v>
      </c>
      <c r="B197">
        <v>23011.099609375</v>
      </c>
      <c r="C197">
        <v>1479.09973144531</v>
      </c>
      <c r="D197">
        <f t="shared" si="4"/>
        <v>-9.3613748839865545E-3</v>
      </c>
      <c r="E197">
        <f t="shared" si="5"/>
        <v>-1.7028284270184226E-3</v>
      </c>
    </row>
    <row r="198" spans="1:5">
      <c r="A198" s="2">
        <v>45666</v>
      </c>
      <c r="B198">
        <v>22868.099609375</v>
      </c>
      <c r="C198">
        <v>1472.47045898437</v>
      </c>
      <c r="D198">
        <f t="shared" si="4"/>
        <v>-6.2143922901337608E-3</v>
      </c>
      <c r="E198">
        <f t="shared" si="5"/>
        <v>-4.4819644815040109E-3</v>
      </c>
    </row>
    <row r="199" spans="1:5">
      <c r="A199" s="2">
        <v>45667</v>
      </c>
      <c r="B199">
        <v>22380.849609375</v>
      </c>
      <c r="C199">
        <v>1453.27563476562</v>
      </c>
      <c r="D199">
        <f t="shared" si="4"/>
        <v>-2.1306973833551394E-2</v>
      </c>
      <c r="E199">
        <f t="shared" si="5"/>
        <v>-1.3035795795855589E-2</v>
      </c>
    </row>
    <row r="200" spans="1:5">
      <c r="A200" s="2">
        <v>45670</v>
      </c>
      <c r="B200">
        <v>21903.349609375</v>
      </c>
      <c r="C200">
        <v>1423.98840332031</v>
      </c>
      <c r="D200">
        <f t="shared" ref="D200:D252" si="6">(B200-B199)/B199</f>
        <v>-2.1335204352563204E-2</v>
      </c>
      <c r="E200">
        <f t="shared" ref="E200:E252" si="7">(C200-C199)/C199</f>
        <v>-2.0152564829887455E-2</v>
      </c>
    </row>
    <row r="201" spans="1:5">
      <c r="A201" s="2">
        <v>45671</v>
      </c>
      <c r="B201">
        <v>22203.900390625</v>
      </c>
      <c r="C201">
        <v>1432.44812011718</v>
      </c>
      <c r="D201">
        <f t="shared" si="6"/>
        <v>1.3721681231867807E-2</v>
      </c>
      <c r="E201">
        <f t="shared" si="7"/>
        <v>5.9408607381524307E-3</v>
      </c>
    </row>
    <row r="202" spans="1:5">
      <c r="A202" s="2">
        <v>45672</v>
      </c>
      <c r="B202">
        <v>21972.69921875</v>
      </c>
      <c r="C202">
        <v>1431.90380859375</v>
      </c>
      <c r="D202">
        <f t="shared" si="6"/>
        <v>-1.0412637771182691E-2</v>
      </c>
      <c r="E202">
        <f t="shared" si="7"/>
        <v>-3.7998690199367904E-4</v>
      </c>
    </row>
    <row r="203" spans="1:5">
      <c r="A203" s="2">
        <v>45673</v>
      </c>
      <c r="B203">
        <v>21909.75</v>
      </c>
      <c r="C203">
        <v>1428.24304199218</v>
      </c>
      <c r="D203">
        <f t="shared" si="6"/>
        <v>-2.8648832864504622E-3</v>
      </c>
      <c r="E203">
        <f t="shared" si="7"/>
        <v>-2.5565729901683718E-3</v>
      </c>
    </row>
    <row r="204" spans="1:5">
      <c r="A204" s="2">
        <v>45674</v>
      </c>
      <c r="B204">
        <v>22061.69921875</v>
      </c>
      <c r="C204">
        <v>1427.05578613281</v>
      </c>
      <c r="D204">
        <f t="shared" si="6"/>
        <v>6.9352328871849292E-3</v>
      </c>
      <c r="E204">
        <f t="shared" si="7"/>
        <v>-8.3127018613999898E-4</v>
      </c>
    </row>
    <row r="205" spans="1:5">
      <c r="A205" s="2">
        <v>45677</v>
      </c>
      <c r="B205">
        <v>22182.400390625</v>
      </c>
      <c r="C205">
        <v>1430.17236328125</v>
      </c>
      <c r="D205">
        <f t="shared" si="6"/>
        <v>5.4710732241520805E-3</v>
      </c>
      <c r="E205">
        <f t="shared" si="7"/>
        <v>2.1839210342895136E-3</v>
      </c>
    </row>
    <row r="206" spans="1:5">
      <c r="A206" s="2">
        <v>45678</v>
      </c>
      <c r="B206">
        <v>21882.900390625</v>
      </c>
      <c r="C206">
        <v>1412.90686035156</v>
      </c>
      <c r="D206">
        <f t="shared" si="6"/>
        <v>-1.3501694799746666E-2</v>
      </c>
      <c r="E206">
        <f t="shared" si="7"/>
        <v>-1.2072323149971722E-2</v>
      </c>
    </row>
    <row r="207" spans="1:5">
      <c r="A207" s="2">
        <v>45679</v>
      </c>
      <c r="B207">
        <v>22034.94921875</v>
      </c>
      <c r="C207">
        <v>1424.18640136718</v>
      </c>
      <c r="D207">
        <f t="shared" si="6"/>
        <v>6.9482941205609222E-3</v>
      </c>
      <c r="E207">
        <f t="shared" si="7"/>
        <v>7.9832162558920675E-3</v>
      </c>
    </row>
    <row r="208" spans="1:5">
      <c r="A208" s="2">
        <v>45680</v>
      </c>
      <c r="B208">
        <v>22343.30078125</v>
      </c>
      <c r="C208">
        <v>1435.81213378906</v>
      </c>
      <c r="D208">
        <f t="shared" si="6"/>
        <v>1.3993749631045993E-2</v>
      </c>
      <c r="E208">
        <f t="shared" si="7"/>
        <v>8.1630693922646758E-3</v>
      </c>
    </row>
    <row r="209" spans="1:5">
      <c r="A209" s="2">
        <v>45681</v>
      </c>
      <c r="B209">
        <v>21872.400390625</v>
      </c>
      <c r="C209">
        <v>1396.48229980468</v>
      </c>
      <c r="D209">
        <f t="shared" si="6"/>
        <v>-2.1075685962217771E-2</v>
      </c>
      <c r="E209">
        <f t="shared" si="7"/>
        <v>-2.7392047370842235E-2</v>
      </c>
    </row>
    <row r="210" spans="1:5">
      <c r="A210" s="2">
        <v>45684</v>
      </c>
      <c r="B210">
        <v>21292.30078125</v>
      </c>
      <c r="C210">
        <v>1381.34399414062</v>
      </c>
      <c r="D210">
        <f t="shared" si="6"/>
        <v>-2.6521991140197106E-2</v>
      </c>
      <c r="E210">
        <f t="shared" si="7"/>
        <v>-1.0840313311652664E-2</v>
      </c>
    </row>
    <row r="211" spans="1:5">
      <c r="A211" s="2">
        <v>45685</v>
      </c>
      <c r="B211">
        <v>20796.599609375</v>
      </c>
      <c r="C211">
        <v>1405.5849609375</v>
      </c>
      <c r="D211">
        <f t="shared" si="6"/>
        <v>-2.3280770686440539E-2</v>
      </c>
      <c r="E211">
        <f t="shared" si="7"/>
        <v>1.7548827011740195E-2</v>
      </c>
    </row>
    <row r="212" spans="1:5">
      <c r="A212" s="2">
        <v>45686</v>
      </c>
      <c r="B212">
        <v>21163.900390625</v>
      </c>
      <c r="C212">
        <v>1408.89953613281</v>
      </c>
      <c r="D212">
        <f t="shared" si="6"/>
        <v>1.7661578726765634E-2</v>
      </c>
      <c r="E212">
        <f t="shared" si="7"/>
        <v>2.358146456760064E-3</v>
      </c>
    </row>
    <row r="213" spans="1:5">
      <c r="A213" s="2">
        <v>45687</v>
      </c>
      <c r="B213">
        <v>21419.650390625</v>
      </c>
      <c r="C213">
        <v>1442.04553222656</v>
      </c>
      <c r="D213">
        <f t="shared" si="6"/>
        <v>1.2084256459328731E-2</v>
      </c>
      <c r="E213">
        <f t="shared" si="7"/>
        <v>2.3526160129720912E-2</v>
      </c>
    </row>
    <row r="214" spans="1:5">
      <c r="A214" s="2">
        <v>45688</v>
      </c>
      <c r="B214">
        <v>21438.599609375</v>
      </c>
      <c r="C214">
        <v>1463.76354980468</v>
      </c>
      <c r="D214">
        <f t="shared" si="6"/>
        <v>8.8466517447426389E-4</v>
      </c>
      <c r="E214">
        <f t="shared" si="7"/>
        <v>1.5060562993865215E-2</v>
      </c>
    </row>
    <row r="215" spans="1:5">
      <c r="A215" s="2">
        <v>45691</v>
      </c>
      <c r="B215">
        <v>21361.599609375</v>
      </c>
      <c r="C215">
        <v>1405.53564453125</v>
      </c>
      <c r="D215">
        <f t="shared" si="6"/>
        <v>-3.5916525054336223E-3</v>
      </c>
      <c r="E215">
        <f t="shared" si="7"/>
        <v>-3.9779584128324379E-2</v>
      </c>
    </row>
    <row r="216" spans="1:5">
      <c r="A216" s="2">
        <v>45692</v>
      </c>
      <c r="B216">
        <v>21733.94921875</v>
      </c>
      <c r="C216">
        <v>1433.734375</v>
      </c>
      <c r="D216">
        <f t="shared" si="6"/>
        <v>1.7430792458612804E-2</v>
      </c>
      <c r="E216">
        <f t="shared" si="7"/>
        <v>2.0062622088929203E-2</v>
      </c>
    </row>
    <row r="217" spans="1:5">
      <c r="A217" s="2">
        <v>45693</v>
      </c>
      <c r="B217">
        <v>21868.5</v>
      </c>
      <c r="C217">
        <v>1421.61389160156</v>
      </c>
      <c r="D217">
        <f t="shared" si="6"/>
        <v>6.1908114303461373E-3</v>
      </c>
      <c r="E217">
        <f t="shared" si="7"/>
        <v>-8.453785868417921E-3</v>
      </c>
    </row>
    <row r="218" spans="1:5">
      <c r="A218" s="2">
        <v>45694</v>
      </c>
      <c r="B218">
        <v>22009.05078125</v>
      </c>
      <c r="C218">
        <v>1455.94702148437</v>
      </c>
      <c r="D218">
        <f t="shared" si="6"/>
        <v>6.427088334819489E-3</v>
      </c>
      <c r="E218">
        <f t="shared" si="7"/>
        <v>2.4150812035278458E-2</v>
      </c>
    </row>
    <row r="219" spans="1:5">
      <c r="A219" s="2">
        <v>45695</v>
      </c>
      <c r="B219">
        <v>22077</v>
      </c>
      <c r="C219">
        <v>1456.68908691406</v>
      </c>
      <c r="D219">
        <f t="shared" si="6"/>
        <v>3.0873307270428696E-3</v>
      </c>
      <c r="E219">
        <f t="shared" si="7"/>
        <v>5.0967886793947285E-4</v>
      </c>
    </row>
    <row r="220" spans="1:5">
      <c r="A220" s="2">
        <v>45698</v>
      </c>
      <c r="B220">
        <v>21665.650390625</v>
      </c>
      <c r="C220">
        <v>1443.43078613281</v>
      </c>
      <c r="D220">
        <f t="shared" si="6"/>
        <v>-1.8632495781809123E-2</v>
      </c>
      <c r="E220">
        <f t="shared" si="7"/>
        <v>-9.1016682285560355E-3</v>
      </c>
    </row>
    <row r="221" spans="1:5">
      <c r="A221" s="2">
        <v>45699</v>
      </c>
      <c r="B221">
        <v>21249.5</v>
      </c>
      <c r="C221">
        <v>1437.791015625</v>
      </c>
      <c r="D221">
        <f t="shared" si="6"/>
        <v>-1.9207842050524063E-2</v>
      </c>
      <c r="E221">
        <f t="shared" si="7"/>
        <v>-3.907198434446502E-3</v>
      </c>
    </row>
    <row r="222" spans="1:5">
      <c r="A222" s="2">
        <v>45700</v>
      </c>
      <c r="B222">
        <v>21142.05078125</v>
      </c>
      <c r="C222">
        <v>1433.88269042968</v>
      </c>
      <c r="D222">
        <f t="shared" si="6"/>
        <v>-5.0565528012423821E-3</v>
      </c>
      <c r="E222">
        <f t="shared" si="7"/>
        <v>-2.7182846135820897E-3</v>
      </c>
    </row>
    <row r="223" spans="1:5">
      <c r="A223" s="2">
        <v>45701</v>
      </c>
      <c r="B223">
        <v>21427.099609375</v>
      </c>
      <c r="C223">
        <v>1456.59020996093</v>
      </c>
      <c r="D223">
        <f t="shared" si="6"/>
        <v>1.3482553375465254E-2</v>
      </c>
      <c r="E223">
        <f t="shared" si="7"/>
        <v>1.5836385837425391E-2</v>
      </c>
    </row>
    <row r="224" spans="1:5">
      <c r="A224" s="2">
        <v>45702</v>
      </c>
      <c r="B224">
        <v>20811.55078125</v>
      </c>
      <c r="C224">
        <v>1444.0244140625</v>
      </c>
      <c r="D224">
        <f t="shared" si="6"/>
        <v>-2.872758513035889E-2</v>
      </c>
      <c r="E224">
        <f t="shared" si="7"/>
        <v>-8.6268573085954269E-3</v>
      </c>
    </row>
    <row r="225" spans="1:5">
      <c r="A225" s="2">
        <v>45705</v>
      </c>
      <c r="B225">
        <v>21076</v>
      </c>
      <c r="C225">
        <v>1459.06372070312</v>
      </c>
      <c r="D225">
        <f t="shared" si="6"/>
        <v>1.2706848304079935E-2</v>
      </c>
      <c r="E225">
        <f t="shared" si="7"/>
        <v>1.041485621306751E-2</v>
      </c>
    </row>
    <row r="226" spans="1:5">
      <c r="A226" s="2">
        <v>45706</v>
      </c>
      <c r="B226">
        <v>20969.19921875</v>
      </c>
      <c r="C226">
        <v>1466.43493652343</v>
      </c>
      <c r="D226">
        <f t="shared" si="6"/>
        <v>-5.0674122817422661E-3</v>
      </c>
      <c r="E226">
        <f t="shared" si="7"/>
        <v>5.0520177533835359E-3</v>
      </c>
    </row>
    <row r="227" spans="1:5">
      <c r="A227" s="2">
        <v>45707</v>
      </c>
      <c r="B227">
        <v>20820</v>
      </c>
      <c r="C227">
        <v>1448.6748046875</v>
      </c>
      <c r="D227">
        <f t="shared" si="6"/>
        <v>-7.1151605358678047E-3</v>
      </c>
      <c r="E227">
        <f t="shared" si="7"/>
        <v>-1.2111094323785727E-2</v>
      </c>
    </row>
    <row r="228" spans="1:5">
      <c r="A228" s="2">
        <v>45708</v>
      </c>
      <c r="B228">
        <v>20785.75</v>
      </c>
      <c r="C228">
        <v>1464.06030273437</v>
      </c>
      <c r="D228">
        <f t="shared" si="6"/>
        <v>-1.6450528338136407E-3</v>
      </c>
      <c r="E228">
        <f t="shared" si="7"/>
        <v>1.062039458206003E-2</v>
      </c>
    </row>
    <row r="229" spans="1:5">
      <c r="A229" s="2">
        <v>45709</v>
      </c>
      <c r="B229">
        <v>20385.650390625</v>
      </c>
      <c r="C229">
        <v>1460.15209960937</v>
      </c>
      <c r="D229">
        <f t="shared" si="6"/>
        <v>-1.9248745384458102E-2</v>
      </c>
      <c r="E229">
        <f t="shared" si="7"/>
        <v>-2.6694276989143117E-3</v>
      </c>
    </row>
    <row r="230" spans="1:5">
      <c r="A230" s="2">
        <v>45712</v>
      </c>
      <c r="B230">
        <v>20389.69921875</v>
      </c>
      <c r="C230">
        <v>1461.1416015625</v>
      </c>
      <c r="D230">
        <f t="shared" si="6"/>
        <v>1.9861167279028706E-4</v>
      </c>
      <c r="E230">
        <f t="shared" si="7"/>
        <v>6.776704655595267E-4</v>
      </c>
    </row>
    <row r="231" spans="1:5">
      <c r="A231" s="2">
        <v>45713</v>
      </c>
      <c r="B231">
        <v>20249.150390625</v>
      </c>
      <c r="C231">
        <v>1447.88317871093</v>
      </c>
      <c r="D231">
        <f t="shared" si="6"/>
        <v>-6.893129055859433E-3</v>
      </c>
      <c r="E231">
        <f t="shared" si="7"/>
        <v>-9.0740163974469372E-3</v>
      </c>
    </row>
    <row r="232" spans="1:5">
      <c r="A232" s="2">
        <v>45715</v>
      </c>
      <c r="B232">
        <v>20201.25</v>
      </c>
      <c r="C232">
        <v>1425.91784667968</v>
      </c>
      <c r="D232">
        <f t="shared" si="6"/>
        <v>-2.3655506379752621E-3</v>
      </c>
      <c r="E232">
        <f t="shared" si="7"/>
        <v>-1.5170652131483447E-2</v>
      </c>
    </row>
    <row r="233" spans="1:5">
      <c r="A233" s="2">
        <v>45716</v>
      </c>
      <c r="B233">
        <v>19813.5</v>
      </c>
      <c r="C233">
        <v>1392.62353515625</v>
      </c>
      <c r="D233">
        <f t="shared" si="6"/>
        <v>-1.9194356784852422E-2</v>
      </c>
      <c r="E233">
        <f t="shared" si="7"/>
        <v>-2.3349389728838477E-2</v>
      </c>
    </row>
    <row r="234" spans="1:5">
      <c r="A234" s="2">
        <v>45719</v>
      </c>
      <c r="B234">
        <v>19879.80078125</v>
      </c>
      <c r="C234">
        <v>1392.67297363281</v>
      </c>
      <c r="D234">
        <f t="shared" si="6"/>
        <v>3.3462427763898354E-3</v>
      </c>
      <c r="E234">
        <f t="shared" si="7"/>
        <v>3.5500244906066431E-5</v>
      </c>
    </row>
    <row r="235" spans="1:5">
      <c r="A235" s="2">
        <v>45720</v>
      </c>
      <c r="B235">
        <v>19820.650390625</v>
      </c>
      <c r="C235">
        <v>1386.98376464843</v>
      </c>
      <c r="D235">
        <f t="shared" si="6"/>
        <v>-2.9754015785102223E-3</v>
      </c>
      <c r="E235">
        <f t="shared" si="7"/>
        <v>-4.0851004450381543E-3</v>
      </c>
    </row>
    <row r="236" spans="1:5">
      <c r="A236" s="2">
        <v>45721</v>
      </c>
      <c r="B236">
        <v>20126.80078125</v>
      </c>
      <c r="C236">
        <v>1404.74401855468</v>
      </c>
      <c r="D236">
        <f t="shared" si="6"/>
        <v>1.544603151720019E-2</v>
      </c>
      <c r="E236">
        <f t="shared" si="7"/>
        <v>1.2804947223554441E-2</v>
      </c>
    </row>
    <row r="237" spans="1:5">
      <c r="A237" s="2">
        <v>45722</v>
      </c>
      <c r="B237">
        <v>20423.349609375</v>
      </c>
      <c r="C237">
        <v>1446.30004882812</v>
      </c>
      <c r="D237">
        <f t="shared" si="6"/>
        <v>1.4734027098895071E-2</v>
      </c>
      <c r="E237">
        <f t="shared" si="7"/>
        <v>2.9582635501232728E-2</v>
      </c>
    </row>
    <row r="238" spans="1:5">
      <c r="A238" s="2">
        <v>45723</v>
      </c>
      <c r="B238">
        <v>20378.30078125</v>
      </c>
      <c r="C238">
        <v>1443.03491210937</v>
      </c>
      <c r="D238">
        <f t="shared" si="6"/>
        <v>-2.2057512105811026E-3</v>
      </c>
      <c r="E238">
        <f t="shared" si="7"/>
        <v>-2.257579069706602E-3</v>
      </c>
    </row>
    <row r="239" spans="1:5">
      <c r="A239" s="2">
        <v>45726</v>
      </c>
      <c r="B239">
        <v>20256.55078125</v>
      </c>
      <c r="C239">
        <v>1447.28955078125</v>
      </c>
      <c r="D239">
        <f t="shared" si="6"/>
        <v>-5.9744922457922369E-3</v>
      </c>
      <c r="E239">
        <f t="shared" si="7"/>
        <v>2.9483962142404052E-3</v>
      </c>
    </row>
    <row r="240" spans="1:5">
      <c r="A240" s="2">
        <v>45727</v>
      </c>
      <c r="B240">
        <v>20332.099609375</v>
      </c>
      <c r="C240">
        <v>1430.46923828125</v>
      </c>
      <c r="D240">
        <f t="shared" si="6"/>
        <v>3.7295998188857501E-3</v>
      </c>
      <c r="E240">
        <f t="shared" si="7"/>
        <v>-1.1621940123122121E-2</v>
      </c>
    </row>
    <row r="241" spans="1:5">
      <c r="A241" s="2">
        <v>45728</v>
      </c>
      <c r="B241">
        <v>20424</v>
      </c>
      <c r="C241">
        <v>1438.92883300781</v>
      </c>
      <c r="D241">
        <f t="shared" si="6"/>
        <v>4.5199655908937869E-3</v>
      </c>
      <c r="E241">
        <f t="shared" si="7"/>
        <v>5.9138599420176597E-3</v>
      </c>
    </row>
    <row r="242" spans="1:5">
      <c r="A242" s="2">
        <v>45729</v>
      </c>
      <c r="B242">
        <v>20386.849609375</v>
      </c>
      <c r="C242">
        <v>1446.44848632812</v>
      </c>
      <c r="D242">
        <f t="shared" si="6"/>
        <v>-1.8189576295045045E-3</v>
      </c>
      <c r="E242">
        <f t="shared" si="7"/>
        <v>5.2258688183984599E-3</v>
      </c>
    </row>
    <row r="243" spans="1:5">
      <c r="A243" s="2">
        <v>45733</v>
      </c>
      <c r="B243">
        <v>20703.94921875</v>
      </c>
      <c r="C243">
        <v>1476.82397460937</v>
      </c>
      <c r="D243">
        <f t="shared" si="6"/>
        <v>1.5554125107646847E-2</v>
      </c>
      <c r="E243">
        <f t="shared" si="7"/>
        <v>2.1000048441655643E-2</v>
      </c>
    </row>
    <row r="244" spans="1:5">
      <c r="A244" s="2">
        <v>45734</v>
      </c>
      <c r="B244">
        <v>21041.30078125</v>
      </c>
      <c r="C244">
        <v>1476.82397460937</v>
      </c>
      <c r="D244">
        <f t="shared" si="6"/>
        <v>1.6294068292752872E-2</v>
      </c>
      <c r="E244">
        <f t="shared" si="7"/>
        <v>0</v>
      </c>
    </row>
    <row r="245" spans="1:5">
      <c r="A245" s="2">
        <v>45735</v>
      </c>
      <c r="B245">
        <v>21145.650390625</v>
      </c>
      <c r="C245">
        <v>1483.30480957031</v>
      </c>
      <c r="D245">
        <f t="shared" si="6"/>
        <v>4.9592755913639344E-3</v>
      </c>
      <c r="E245">
        <f t="shared" si="7"/>
        <v>4.3883597993824731E-3</v>
      </c>
    </row>
    <row r="246" spans="1:5">
      <c r="A246" s="2">
        <v>45736</v>
      </c>
      <c r="B246">
        <v>21340.599609375</v>
      </c>
      <c r="C246">
        <v>1496.06848144531</v>
      </c>
      <c r="D246">
        <f t="shared" si="6"/>
        <v>9.2193531600442725E-3</v>
      </c>
      <c r="E246">
        <f t="shared" si="7"/>
        <v>8.6048880800820935E-3</v>
      </c>
    </row>
    <row r="247" spans="1:5">
      <c r="A247" s="2">
        <v>45737</v>
      </c>
      <c r="B247">
        <v>21625.900390625</v>
      </c>
      <c r="C247">
        <v>1507.74377441406</v>
      </c>
      <c r="D247">
        <f t="shared" si="6"/>
        <v>1.3368920577314349E-2</v>
      </c>
      <c r="E247">
        <f t="shared" si="7"/>
        <v>7.803982981762189E-3</v>
      </c>
    </row>
    <row r="248" spans="1:5">
      <c r="A248" s="2">
        <v>45740</v>
      </c>
      <c r="B248">
        <v>21771.150390625</v>
      </c>
      <c r="C248">
        <v>1507.94165039062</v>
      </c>
      <c r="D248">
        <f t="shared" si="6"/>
        <v>6.7164833545135085E-3</v>
      </c>
      <c r="E248">
        <f t="shared" si="7"/>
        <v>1.3123979015393217E-4</v>
      </c>
    </row>
    <row r="249" spans="1:5">
      <c r="A249" s="2">
        <v>45741</v>
      </c>
      <c r="B249">
        <v>21542.5</v>
      </c>
      <c r="C249">
        <v>1495.22741699218</v>
      </c>
      <c r="D249">
        <f t="shared" si="6"/>
        <v>-1.0502448723309563E-2</v>
      </c>
      <c r="E249">
        <f t="shared" si="7"/>
        <v>-8.4315155000503385E-3</v>
      </c>
    </row>
    <row r="250" spans="1:5">
      <c r="A250" s="2">
        <v>45742</v>
      </c>
      <c r="B250">
        <v>21360.599609375</v>
      </c>
      <c r="C250">
        <v>1460.59729003906</v>
      </c>
      <c r="D250">
        <f t="shared" si="6"/>
        <v>-8.4437920680051053E-3</v>
      </c>
      <c r="E250">
        <f t="shared" si="7"/>
        <v>-2.3160441388094952E-2</v>
      </c>
    </row>
    <row r="251" spans="1:5">
      <c r="A251" s="2">
        <v>45743</v>
      </c>
      <c r="B251">
        <v>21275.150390625</v>
      </c>
      <c r="C251">
        <v>1467.2265625</v>
      </c>
      <c r="D251">
        <f t="shared" si="6"/>
        <v>-4.0003192940565677E-3</v>
      </c>
      <c r="E251">
        <f t="shared" si="7"/>
        <v>4.5387407645831783E-3</v>
      </c>
    </row>
    <row r="252" spans="1:5">
      <c r="A252" s="2">
        <v>45744</v>
      </c>
      <c r="B252">
        <v>21137.44921875</v>
      </c>
      <c r="C252">
        <v>1426.95666503906</v>
      </c>
      <c r="D252">
        <f t="shared" si="6"/>
        <v>-6.4723947585197186E-3</v>
      </c>
      <c r="E252">
        <f t="shared" si="7"/>
        <v>-2.7446270732942788E-2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A2D0C-A075-4A12-954B-7124BDCB5661}">
  <dimension ref="A1:X252"/>
  <sheetViews>
    <sheetView topLeftCell="F1" workbookViewId="0">
      <selection activeCell="P2" sqref="P2:T2"/>
    </sheetView>
  </sheetViews>
  <sheetFormatPr defaultRowHeight="14.4"/>
  <cols>
    <col min="2" max="2" width="42.5546875" bestFit="1" customWidth="1"/>
    <col min="3" max="3" width="9.5546875" bestFit="1" customWidth="1"/>
    <col min="4" max="4" width="6.33203125" customWidth="1"/>
    <col min="5" max="5" width="7.88671875" customWidth="1"/>
    <col min="6" max="6" width="53" bestFit="1" customWidth="1"/>
    <col min="7" max="7" width="9.5546875" bestFit="1" customWidth="1"/>
    <col min="8" max="8" width="9.5546875" customWidth="1"/>
    <col min="9" max="10" width="17" bestFit="1" customWidth="1"/>
    <col min="11" max="11" width="12.33203125" bestFit="1" customWidth="1"/>
    <col min="12" max="12" width="21.109375" customWidth="1"/>
    <col min="13" max="13" width="75.109375" bestFit="1" customWidth="1"/>
    <col min="16" max="16" width="11.109375" bestFit="1" customWidth="1"/>
    <col min="17" max="17" width="13.44140625" bestFit="1" customWidth="1"/>
    <col min="18" max="18" width="12.33203125" bestFit="1" customWidth="1"/>
    <col min="19" max="20" width="12.5546875" bestFit="1" customWidth="1"/>
    <col min="23" max="23" width="14.44140625" bestFit="1" customWidth="1"/>
    <col min="24" max="24" width="17" bestFit="1" customWidth="1"/>
  </cols>
  <sheetData>
    <row r="1" spans="1:24">
      <c r="A1" s="3"/>
      <c r="B1" s="3"/>
      <c r="C1" s="3"/>
      <c r="D1" s="3"/>
      <c r="E1" s="3"/>
      <c r="F1" s="3"/>
      <c r="G1" s="3"/>
      <c r="H1" s="3"/>
      <c r="I1" s="3"/>
    </row>
    <row r="2" spans="1:24" ht="21">
      <c r="A2" s="3"/>
      <c r="B2" s="3"/>
      <c r="C2" s="61" t="s">
        <v>144</v>
      </c>
      <c r="D2" s="62"/>
      <c r="E2" s="62"/>
      <c r="F2" s="63"/>
      <c r="G2" s="3"/>
      <c r="H2" s="3"/>
      <c r="I2" s="3"/>
      <c r="P2" s="64" t="s">
        <v>141</v>
      </c>
      <c r="Q2" s="65"/>
      <c r="R2" s="65"/>
      <c r="S2" s="65"/>
      <c r="T2" s="66"/>
    </row>
    <row r="3" spans="1:24">
      <c r="A3" s="3"/>
      <c r="B3" s="3"/>
      <c r="C3" s="3"/>
      <c r="D3" s="3"/>
      <c r="E3" s="3"/>
      <c r="F3" s="3"/>
      <c r="G3" s="3"/>
      <c r="H3" s="3"/>
      <c r="I3" s="3"/>
      <c r="P3" s="57" t="s">
        <v>1</v>
      </c>
      <c r="Q3" s="57" t="s">
        <v>2</v>
      </c>
      <c r="R3" s="57" t="s">
        <v>2</v>
      </c>
      <c r="S3" s="57" t="s">
        <v>3</v>
      </c>
      <c r="T3" s="57" t="s">
        <v>3</v>
      </c>
      <c r="W3" s="57" t="s">
        <v>142</v>
      </c>
      <c r="X3" s="57" t="s">
        <v>143</v>
      </c>
    </row>
    <row r="4" spans="1:24">
      <c r="A4" s="3"/>
      <c r="B4" s="4" t="s">
        <v>145</v>
      </c>
      <c r="C4" s="5">
        <v>46105</v>
      </c>
      <c r="D4" s="3"/>
      <c r="E4" s="3"/>
      <c r="F4" s="4" t="s">
        <v>146</v>
      </c>
      <c r="G4" s="5">
        <v>46105</v>
      </c>
      <c r="H4" s="28"/>
      <c r="I4" s="3"/>
      <c r="P4" s="57" t="s">
        <v>6</v>
      </c>
      <c r="Q4" s="57" t="s">
        <v>7</v>
      </c>
      <c r="R4" s="57" t="s">
        <v>141</v>
      </c>
      <c r="S4" s="57" t="s">
        <v>8</v>
      </c>
      <c r="T4" s="57" t="s">
        <v>9</v>
      </c>
      <c r="W4" s="55">
        <f>_xlfn.COVARIANCE.S(S7:S252,T7:T252)</f>
        <v>9.6732110920103229E-5</v>
      </c>
      <c r="X4" s="55">
        <f>_xlfn.VAR.S(S7:S252)</f>
        <v>1.0123143075821166E-4</v>
      </c>
    </row>
    <row r="5" spans="1:24">
      <c r="A5" s="3"/>
      <c r="B5" s="7" t="s">
        <v>16</v>
      </c>
      <c r="C5" s="9" t="s">
        <v>17</v>
      </c>
      <c r="D5" s="3"/>
      <c r="E5" s="3"/>
      <c r="F5" s="7" t="s">
        <v>16</v>
      </c>
      <c r="G5" s="9" t="s">
        <v>17</v>
      </c>
      <c r="H5" s="13"/>
      <c r="I5" s="3" t="s">
        <v>16</v>
      </c>
      <c r="P5" s="57" t="s">
        <v>10</v>
      </c>
      <c r="Q5" s="57"/>
      <c r="R5" s="57"/>
      <c r="S5" s="57"/>
      <c r="T5" s="57"/>
    </row>
    <row r="6" spans="1:24">
      <c r="A6" s="3"/>
      <c r="B6" s="7" t="s">
        <v>18</v>
      </c>
      <c r="C6" s="8" t="s">
        <v>19</v>
      </c>
      <c r="D6" s="3"/>
      <c r="E6" s="3"/>
      <c r="F6" s="7" t="s">
        <v>20</v>
      </c>
      <c r="G6" s="8" t="s">
        <v>19</v>
      </c>
      <c r="H6" s="3"/>
      <c r="I6" s="3" t="s">
        <v>16</v>
      </c>
      <c r="P6" s="53">
        <v>45383</v>
      </c>
      <c r="Q6" s="41">
        <v>19207.900390625</v>
      </c>
      <c r="R6" s="41">
        <v>1470.34301757812</v>
      </c>
      <c r="S6" s="41"/>
      <c r="T6" s="41"/>
      <c r="W6" s="57" t="s">
        <v>11</v>
      </c>
    </row>
    <row r="7" spans="1:24">
      <c r="A7" s="3"/>
      <c r="B7" s="7" t="s">
        <v>21</v>
      </c>
      <c r="C7" s="8" t="s">
        <v>19</v>
      </c>
      <c r="D7" s="3"/>
      <c r="E7" s="3"/>
      <c r="F7" s="7" t="s">
        <v>22</v>
      </c>
      <c r="G7" s="10">
        <v>25446.63</v>
      </c>
      <c r="H7" s="21"/>
      <c r="I7" s="3" t="s">
        <v>16</v>
      </c>
      <c r="P7" s="53">
        <v>45384</v>
      </c>
      <c r="Q7" s="41">
        <v>19185.150390625</v>
      </c>
      <c r="R7" s="41">
        <v>1461.26782226562</v>
      </c>
      <c r="S7" s="41">
        <f>(Q7-Q6)/Q6</f>
        <v>-1.1844084744995777E-3</v>
      </c>
      <c r="T7" s="41">
        <f>(R7-R6)/R6</f>
        <v>-6.1721620084599273E-3</v>
      </c>
      <c r="W7" s="55">
        <f>W4/X4</f>
        <v>0.95555412183341626</v>
      </c>
    </row>
    <row r="8" spans="1:24">
      <c r="A8" s="3"/>
      <c r="B8" s="7" t="s">
        <v>23</v>
      </c>
      <c r="C8" s="8">
        <v>161.47</v>
      </c>
      <c r="D8" s="3"/>
      <c r="E8" s="3"/>
      <c r="F8" s="7" t="s">
        <v>24</v>
      </c>
      <c r="G8" s="8">
        <v>0</v>
      </c>
      <c r="H8" s="3"/>
      <c r="I8" s="3" t="s">
        <v>16</v>
      </c>
      <c r="P8" s="53">
        <v>45385</v>
      </c>
      <c r="Q8" s="41">
        <v>19153.05078125</v>
      </c>
      <c r="R8" s="41">
        <v>1443.70581054687</v>
      </c>
      <c r="S8" s="41">
        <f t="shared" ref="S8:T71" si="0">(Q8-Q7)/Q7</f>
        <v>-1.6731486968528414E-3</v>
      </c>
      <c r="T8" s="41">
        <f t="shared" si="0"/>
        <v>-1.2018338767989164E-2</v>
      </c>
    </row>
    <row r="9" spans="1:24">
      <c r="A9" s="3"/>
      <c r="B9" s="7" t="s">
        <v>25</v>
      </c>
      <c r="C9" s="8">
        <v>161.47</v>
      </c>
      <c r="D9" s="3"/>
      <c r="E9" s="3"/>
      <c r="F9" s="7" t="s">
        <v>26</v>
      </c>
      <c r="G9" s="10">
        <v>25446.63</v>
      </c>
      <c r="H9" s="21"/>
      <c r="I9" s="3" t="s">
        <v>16</v>
      </c>
      <c r="P9" s="53">
        <v>45386</v>
      </c>
      <c r="Q9" s="41">
        <v>19125.19921875</v>
      </c>
      <c r="R9" s="41">
        <v>1431.98156738281</v>
      </c>
      <c r="S9" s="41">
        <f t="shared" si="0"/>
        <v>-1.4541580251677432E-3</v>
      </c>
      <c r="T9" s="41">
        <f t="shared" si="0"/>
        <v>-8.120936466702245E-3</v>
      </c>
      <c r="W9" s="57" t="s">
        <v>12</v>
      </c>
    </row>
    <row r="10" spans="1:24">
      <c r="A10" s="3"/>
      <c r="B10" s="7" t="s">
        <v>27</v>
      </c>
      <c r="C10" s="10">
        <v>26544.959999999999</v>
      </c>
      <c r="D10" s="3"/>
      <c r="E10" s="3"/>
      <c r="F10" s="7" t="s">
        <v>28</v>
      </c>
      <c r="G10" s="10">
        <v>25774.09</v>
      </c>
      <c r="H10" s="21"/>
      <c r="I10" s="3" t="s">
        <v>16</v>
      </c>
      <c r="P10" s="53">
        <v>45387</v>
      </c>
      <c r="Q10" s="41">
        <v>19160.75</v>
      </c>
      <c r="R10" s="41">
        <v>1422.02331542968</v>
      </c>
      <c r="S10" s="41">
        <f t="shared" si="0"/>
        <v>1.8588450161160495E-3</v>
      </c>
      <c r="T10" s="41">
        <f t="shared" si="0"/>
        <v>-6.9541760731811671E-3</v>
      </c>
      <c r="W10" s="55">
        <f>AVERAGE(S7:S252)</f>
        <v>4.3962859287504746E-4</v>
      </c>
    </row>
    <row r="11" spans="1:24">
      <c r="A11" s="3"/>
      <c r="B11" s="7" t="s">
        <v>29</v>
      </c>
      <c r="C11" s="10">
        <v>26544.959999999999</v>
      </c>
      <c r="D11" s="3"/>
      <c r="E11" s="3"/>
      <c r="F11" s="7" t="s">
        <v>30</v>
      </c>
      <c r="G11" s="8">
        <v>746.57</v>
      </c>
      <c r="H11" s="3"/>
      <c r="I11" s="3"/>
      <c r="P11" s="53">
        <v>45390</v>
      </c>
      <c r="Q11" s="41">
        <v>19218.849609375</v>
      </c>
      <c r="R11" s="41">
        <v>1434.82666015625</v>
      </c>
      <c r="S11" s="41">
        <f>(Q11-Q10)/Q10</f>
        <v>3.0322200005219002E-3</v>
      </c>
      <c r="T11" s="41">
        <f>(R11-R10)/R10</f>
        <v>9.0036109729335432E-3</v>
      </c>
    </row>
    <row r="12" spans="1:24">
      <c r="A12" s="3"/>
      <c r="B12" s="7" t="s">
        <v>31</v>
      </c>
      <c r="C12" s="10">
        <v>26706.43</v>
      </c>
      <c r="D12" s="3"/>
      <c r="E12" s="3"/>
      <c r="F12" s="7" t="s">
        <v>32</v>
      </c>
      <c r="G12" s="10">
        <v>26520.66</v>
      </c>
      <c r="H12" s="21"/>
      <c r="I12" s="21"/>
      <c r="P12" s="53">
        <v>45391</v>
      </c>
      <c r="Q12" s="41">
        <v>19182.30078125</v>
      </c>
      <c r="R12" s="41">
        <v>1422.90637207031</v>
      </c>
      <c r="S12" s="41">
        <f t="shared" si="0"/>
        <v>-1.901717785812289E-3</v>
      </c>
      <c r="T12" s="41">
        <f t="shared" si="0"/>
        <v>-8.3078245037919093E-3</v>
      </c>
    </row>
    <row r="13" spans="1:24">
      <c r="A13" s="3"/>
      <c r="B13" s="7" t="s">
        <v>33</v>
      </c>
      <c r="C13" s="8">
        <v>95.9</v>
      </c>
      <c r="D13" s="3"/>
      <c r="E13" s="3"/>
      <c r="F13" s="7" t="s">
        <v>34</v>
      </c>
      <c r="G13" s="8" t="s">
        <v>19</v>
      </c>
      <c r="H13" s="3"/>
      <c r="I13" s="3"/>
      <c r="J13" s="51" t="s">
        <v>35</v>
      </c>
      <c r="K13" s="45">
        <f>C15 + C21</f>
        <v>247.02</v>
      </c>
      <c r="L13" s="46" t="str">
        <f ca="1">_xlfn.FORMULATEXT(K13)</f>
        <v>=C15 + C21</v>
      </c>
      <c r="M13" s="46" t="s">
        <v>36</v>
      </c>
      <c r="P13" s="53">
        <v>45392</v>
      </c>
      <c r="Q13" s="41">
        <v>19117</v>
      </c>
      <c r="R13" s="41">
        <v>1396.07287597656</v>
      </c>
      <c r="S13" s="41">
        <f t="shared" si="0"/>
        <v>-3.4042204840114454E-3</v>
      </c>
      <c r="T13" s="41">
        <f t="shared" si="0"/>
        <v>-1.885823032383193E-2</v>
      </c>
    </row>
    <row r="14" spans="1:24">
      <c r="A14" s="3"/>
      <c r="B14" s="7" t="s">
        <v>37</v>
      </c>
      <c r="C14" s="8" t="s">
        <v>19</v>
      </c>
      <c r="D14" s="3"/>
      <c r="E14" s="3"/>
      <c r="F14" s="7" t="s">
        <v>38</v>
      </c>
      <c r="G14" s="10">
        <v>5220.51</v>
      </c>
      <c r="H14" s="21"/>
      <c r="I14" s="21"/>
      <c r="J14" s="52" t="s">
        <v>39</v>
      </c>
      <c r="K14" s="47">
        <f>K27 / K28</f>
        <v>2.8708031037090493</v>
      </c>
      <c r="L14" s="48" t="str">
        <f ca="1">_xlfn.FORMULATEXT(K14)</f>
        <v>=K27 / K28</v>
      </c>
      <c r="M14" s="48" t="s">
        <v>40</v>
      </c>
      <c r="P14" s="53">
        <v>45394</v>
      </c>
      <c r="Q14" s="41">
        <v>18788.650390625</v>
      </c>
      <c r="R14" s="41">
        <v>1370.41687011718</v>
      </c>
      <c r="S14" s="41">
        <f t="shared" si="0"/>
        <v>-1.717579167102579E-2</v>
      </c>
      <c r="T14" s="41">
        <f t="shared" si="0"/>
        <v>-1.8377268336678697E-2</v>
      </c>
    </row>
    <row r="15" spans="1:24">
      <c r="A15" s="3"/>
      <c r="B15" s="7" t="s">
        <v>41</v>
      </c>
      <c r="C15" s="8">
        <v>0</v>
      </c>
      <c r="D15" s="3"/>
      <c r="E15" s="3"/>
      <c r="F15" s="7" t="s">
        <v>42</v>
      </c>
      <c r="G15" s="10">
        <v>3536.03</v>
      </c>
      <c r="H15" s="21"/>
      <c r="I15" s="21"/>
      <c r="J15" s="51" t="s">
        <v>43</v>
      </c>
      <c r="K15" s="49">
        <f>K28 / K29</f>
        <v>1.0157631666637437</v>
      </c>
      <c r="L15" s="46" t="str">
        <f t="shared" ref="L15:L21" ca="1" si="1">_xlfn.FORMULATEXT(K15)</f>
        <v>=K28 / K29</v>
      </c>
      <c r="M15" s="46" t="s">
        <v>44</v>
      </c>
      <c r="P15" s="53">
        <v>45397</v>
      </c>
      <c r="Q15" s="41">
        <v>18617.650390625</v>
      </c>
      <c r="R15" s="41">
        <v>1355.30773925781</v>
      </c>
      <c r="S15" s="41">
        <f t="shared" si="0"/>
        <v>-9.1012391228123615E-3</v>
      </c>
      <c r="T15" s="41">
        <f t="shared" si="0"/>
        <v>-1.1025207868375164E-2</v>
      </c>
    </row>
    <row r="16" spans="1:24">
      <c r="A16" s="3"/>
      <c r="B16" s="7" t="s">
        <v>45</v>
      </c>
      <c r="C16" s="8">
        <v>185.29</v>
      </c>
      <c r="D16" s="3"/>
      <c r="E16" s="3"/>
      <c r="F16" s="7" t="s">
        <v>46</v>
      </c>
      <c r="G16" s="8">
        <v>640.62</v>
      </c>
      <c r="H16" s="3"/>
      <c r="I16" s="3"/>
      <c r="J16" s="51" t="s">
        <v>47</v>
      </c>
      <c r="K16" s="46">
        <f>K14 * K15</f>
        <v>2.9160560514916076</v>
      </c>
      <c r="L16" s="46" t="str">
        <f t="shared" ca="1" si="1"/>
        <v>=K14 * K15</v>
      </c>
      <c r="M16" s="46" t="s">
        <v>48</v>
      </c>
      <c r="P16" s="53">
        <v>45398</v>
      </c>
      <c r="Q16" s="41">
        <v>18695.599609375</v>
      </c>
      <c r="R16" s="41">
        <v>1349.22473144531</v>
      </c>
      <c r="S16" s="41">
        <f t="shared" si="0"/>
        <v>4.1868451235528448E-3</v>
      </c>
      <c r="T16" s="41">
        <f t="shared" si="0"/>
        <v>-4.4882853069452408E-3</v>
      </c>
    </row>
    <row r="17" spans="1:20">
      <c r="A17" s="3"/>
      <c r="B17" s="7" t="s">
        <v>49</v>
      </c>
      <c r="C17" s="8">
        <v>355.17</v>
      </c>
      <c r="D17" s="3"/>
      <c r="E17" s="3"/>
      <c r="F17" s="7" t="s">
        <v>50</v>
      </c>
      <c r="G17" s="8">
        <v>63.03</v>
      </c>
      <c r="H17" s="3"/>
      <c r="I17" s="3"/>
      <c r="J17" s="51" t="s">
        <v>51</v>
      </c>
      <c r="K17" s="46">
        <f>G19 / (C15 + C21)</f>
        <v>0.36385717755647312</v>
      </c>
      <c r="L17" s="46" t="str">
        <f t="shared" ca="1" si="1"/>
        <v>=G19 / (C15 + C21)</v>
      </c>
      <c r="M17" s="46" t="s">
        <v>52</v>
      </c>
      <c r="P17" s="53">
        <v>45400</v>
      </c>
      <c r="Q17" s="41">
        <v>18525.75</v>
      </c>
      <c r="R17" s="41">
        <v>1321.85180664062</v>
      </c>
      <c r="S17" s="41">
        <f t="shared" si="0"/>
        <v>-9.0850046494271343E-3</v>
      </c>
      <c r="T17" s="41">
        <f t="shared" si="0"/>
        <v>-2.0287891384386136E-2</v>
      </c>
    </row>
    <row r="18" spans="1:20">
      <c r="A18" s="3"/>
      <c r="B18" s="7" t="s">
        <v>53</v>
      </c>
      <c r="C18" s="8">
        <v>129.26</v>
      </c>
      <c r="D18" s="3"/>
      <c r="E18" s="3"/>
      <c r="F18" s="7" t="s">
        <v>54</v>
      </c>
      <c r="G18" s="10">
        <v>4310.04</v>
      </c>
      <c r="H18" s="21"/>
      <c r="I18" s="21"/>
      <c r="J18" s="51" t="s">
        <v>55</v>
      </c>
      <c r="K18" s="49">
        <f>K33+K31*(K32-K33)</f>
        <v>0.10884028016455037</v>
      </c>
      <c r="L18" s="46" t="str">
        <f t="shared" ca="1" si="1"/>
        <v>=K33+K31*(K32-K33)</v>
      </c>
      <c r="M18" s="46" t="s">
        <v>56</v>
      </c>
      <c r="P18" s="53">
        <v>45401</v>
      </c>
      <c r="Q18" s="41">
        <v>18404.599609375</v>
      </c>
      <c r="R18" s="41">
        <v>1320.3310546875</v>
      </c>
      <c r="S18" s="41">
        <f t="shared" si="0"/>
        <v>-6.5395673926831573E-3</v>
      </c>
      <c r="T18" s="41">
        <f t="shared" si="0"/>
        <v>-1.1504708360499704E-3</v>
      </c>
    </row>
    <row r="19" spans="1:20">
      <c r="A19" s="3"/>
      <c r="B19" s="7" t="s">
        <v>57</v>
      </c>
      <c r="C19" s="8">
        <v>669.72</v>
      </c>
      <c r="D19" s="3"/>
      <c r="E19" s="3"/>
      <c r="F19" s="7" t="s">
        <v>58</v>
      </c>
      <c r="G19" s="8">
        <v>89.88</v>
      </c>
      <c r="H19" s="3"/>
      <c r="I19" s="3"/>
      <c r="J19" s="51" t="s">
        <v>59</v>
      </c>
      <c r="K19" s="50">
        <f>G31 / G25</f>
        <v>0.27124116522562652</v>
      </c>
      <c r="L19" s="46" t="str">
        <f t="shared" ca="1" si="1"/>
        <v>=G31 / G25</v>
      </c>
      <c r="M19" s="46" t="s">
        <v>60</v>
      </c>
      <c r="P19" s="53">
        <v>45404</v>
      </c>
      <c r="Q19" s="41">
        <v>18643</v>
      </c>
      <c r="R19" s="41">
        <v>1329.25915527343</v>
      </c>
      <c r="S19" s="41">
        <f t="shared" si="0"/>
        <v>1.2953304917514357E-2</v>
      </c>
      <c r="T19" s="41">
        <f t="shared" si="0"/>
        <v>6.7620166580442407E-3</v>
      </c>
    </row>
    <row r="20" spans="1:20">
      <c r="A20" s="3"/>
      <c r="B20" s="7" t="s">
        <v>61</v>
      </c>
      <c r="C20" s="8" t="s">
        <v>19</v>
      </c>
      <c r="D20" s="3"/>
      <c r="E20" s="3"/>
      <c r="F20" s="7" t="s">
        <v>62</v>
      </c>
      <c r="G20" s="10">
        <v>1051.02</v>
      </c>
      <c r="H20" s="21"/>
      <c r="I20" s="21"/>
      <c r="J20" s="51" t="s">
        <v>63</v>
      </c>
      <c r="K20" s="46">
        <f>K13 / (K13 + C12)</f>
        <v>9.1646894924397437E-3</v>
      </c>
      <c r="L20" s="46" t="str">
        <f t="shared" ca="1" si="1"/>
        <v>=K13 / (K13 + C12)</v>
      </c>
      <c r="M20" s="46" t="s">
        <v>64</v>
      </c>
      <c r="P20" s="53">
        <v>45405</v>
      </c>
      <c r="Q20" s="41">
        <v>18463.75</v>
      </c>
      <c r="R20" s="41">
        <v>1321.26306152343</v>
      </c>
      <c r="S20" s="41">
        <f t="shared" si="0"/>
        <v>-9.6148688515796821E-3</v>
      </c>
      <c r="T20" s="41">
        <f t="shared" si="0"/>
        <v>-6.0154513273637713E-3</v>
      </c>
    </row>
    <row r="21" spans="1:20">
      <c r="A21" s="3"/>
      <c r="B21" s="7" t="s">
        <v>65</v>
      </c>
      <c r="C21" s="8">
        <v>247.02</v>
      </c>
      <c r="D21" s="3"/>
      <c r="E21" s="3"/>
      <c r="F21" s="7" t="s">
        <v>66</v>
      </c>
      <c r="G21" s="10">
        <v>5712.81</v>
      </c>
      <c r="H21" s="21"/>
      <c r="I21" s="21"/>
      <c r="J21" s="51" t="s">
        <v>67</v>
      </c>
      <c r="K21" s="46">
        <f>C12 / (K13 + C12)</f>
        <v>0.99083531050756024</v>
      </c>
      <c r="L21" s="46" t="str">
        <f t="shared" ca="1" si="1"/>
        <v>=C12 / (K13 + C12)</v>
      </c>
      <c r="M21" s="46" t="s">
        <v>68</v>
      </c>
      <c r="P21" s="53">
        <v>45406</v>
      </c>
      <c r="Q21" s="41">
        <v>18586.19921875</v>
      </c>
      <c r="R21" s="41">
        <v>1371.79040527343</v>
      </c>
      <c r="S21" s="41">
        <f t="shared" si="0"/>
        <v>6.6318715726761896E-3</v>
      </c>
      <c r="T21" s="41">
        <f t="shared" si="0"/>
        <v>3.8241698584793135E-2</v>
      </c>
    </row>
    <row r="22" spans="1:20">
      <c r="A22" s="3"/>
      <c r="B22" s="7" t="s">
        <v>69</v>
      </c>
      <c r="C22" s="10">
        <v>2473.98</v>
      </c>
      <c r="D22" s="3"/>
      <c r="E22" s="3"/>
      <c r="F22" s="7" t="s">
        <v>70</v>
      </c>
      <c r="G22" s="10">
        <v>20623.939999999999</v>
      </c>
      <c r="H22" s="21"/>
      <c r="I22" s="21"/>
      <c r="J22" s="51" t="s">
        <v>71</v>
      </c>
      <c r="K22" s="49">
        <f>K21 * K18 + K20 * K17</f>
        <v>0.11117743084447271</v>
      </c>
      <c r="L22" s="46" t="str">
        <f ca="1">_xlfn.FORMULATEXT(K22)</f>
        <v>=K21 * K18 + K20 * K17</v>
      </c>
      <c r="M22" s="46" t="s">
        <v>72</v>
      </c>
      <c r="P22" s="53">
        <v>45407</v>
      </c>
      <c r="Q22" s="41">
        <v>18878.150390625</v>
      </c>
      <c r="R22" s="41">
        <v>1379.63928222656</v>
      </c>
      <c r="S22" s="41">
        <f t="shared" si="0"/>
        <v>1.5707954511779677E-2</v>
      </c>
      <c r="T22" s="41">
        <f t="shared" si="0"/>
        <v>5.7216298663100339E-3</v>
      </c>
    </row>
    <row r="23" spans="1:20">
      <c r="A23" s="3"/>
      <c r="B23" s="7" t="s">
        <v>73</v>
      </c>
      <c r="C23" s="8">
        <v>913.01</v>
      </c>
      <c r="D23" s="3"/>
      <c r="E23" s="3"/>
      <c r="F23" s="7" t="s">
        <v>74</v>
      </c>
      <c r="G23" s="10">
        <v>5896.72</v>
      </c>
      <c r="H23" s="21"/>
      <c r="I23" s="21"/>
      <c r="J23" s="3" t="s">
        <v>16</v>
      </c>
      <c r="K23" s="24"/>
      <c r="L23" s="3"/>
      <c r="M23" s="3"/>
      <c r="P23" s="53">
        <v>45408</v>
      </c>
      <c r="Q23" s="41">
        <v>18994.650390625</v>
      </c>
      <c r="R23" s="41">
        <v>1382.53356933593</v>
      </c>
      <c r="S23" s="41">
        <f t="shared" si="0"/>
        <v>6.1711554145608772E-3</v>
      </c>
      <c r="T23" s="41">
        <f t="shared" si="0"/>
        <v>2.097857857960518E-3</v>
      </c>
    </row>
    <row r="24" spans="1:20">
      <c r="A24" s="3"/>
      <c r="B24" s="7" t="s">
        <v>75</v>
      </c>
      <c r="C24" s="10">
        <v>1611.76</v>
      </c>
      <c r="D24" s="3"/>
      <c r="E24" s="3"/>
      <c r="F24" s="7" t="s">
        <v>76</v>
      </c>
      <c r="G24" s="8">
        <v>-194.82</v>
      </c>
      <c r="H24" s="3"/>
      <c r="I24" s="3"/>
      <c r="J24" s="3" t="s">
        <v>16</v>
      </c>
      <c r="K24" s="3"/>
      <c r="L24" s="3"/>
      <c r="M24" s="3"/>
      <c r="P24" s="53">
        <v>45411</v>
      </c>
      <c r="Q24" s="41">
        <v>19096.900390625</v>
      </c>
      <c r="R24" s="41">
        <v>1381.4052734375</v>
      </c>
      <c r="S24" s="41">
        <f t="shared" si="0"/>
        <v>5.3830946028080888E-3</v>
      </c>
      <c r="T24" s="41">
        <f t="shared" si="0"/>
        <v>-8.161074157294778E-4</v>
      </c>
    </row>
    <row r="25" spans="1:20">
      <c r="A25" s="3"/>
      <c r="B25" s="7" t="s">
        <v>77</v>
      </c>
      <c r="C25" s="10">
        <v>5245.77</v>
      </c>
      <c r="D25" s="3"/>
      <c r="E25" s="3"/>
      <c r="F25" s="7" t="s">
        <v>78</v>
      </c>
      <c r="G25" s="10">
        <v>5701.9</v>
      </c>
      <c r="H25" s="21"/>
      <c r="I25" s="21"/>
      <c r="J25" s="3" t="s">
        <v>79</v>
      </c>
      <c r="K25" s="21">
        <f>G9</f>
        <v>25446.63</v>
      </c>
      <c r="L25" s="11" t="str">
        <f t="shared" ref="L25:L26" ca="1" si="2">_xlfn.FORMULATEXT(K25)</f>
        <v>=G9</v>
      </c>
      <c r="M25" s="11" t="s">
        <v>80</v>
      </c>
      <c r="P25" s="53">
        <v>45412</v>
      </c>
      <c r="Q25" s="41">
        <v>18970.599609375</v>
      </c>
      <c r="R25" s="41">
        <v>1373.55639648437</v>
      </c>
      <c r="S25" s="41">
        <f t="shared" si="0"/>
        <v>-6.6136796373511613E-3</v>
      </c>
      <c r="T25" s="41">
        <f t="shared" si="0"/>
        <v>-5.6818061318086571E-3</v>
      </c>
    </row>
    <row r="26" spans="1:20">
      <c r="A26" s="3"/>
      <c r="B26" s="7" t="s">
        <v>81</v>
      </c>
      <c r="C26" s="10">
        <v>32717.82</v>
      </c>
      <c r="D26" s="3"/>
      <c r="E26" s="3"/>
      <c r="F26" s="7" t="s">
        <v>82</v>
      </c>
      <c r="G26" s="8" t="s">
        <v>19</v>
      </c>
      <c r="H26" s="3"/>
      <c r="I26" s="3"/>
      <c r="J26" s="3" t="s">
        <v>83</v>
      </c>
      <c r="K26" s="21">
        <f>G14+G15+G17</f>
        <v>8819.5700000000015</v>
      </c>
      <c r="L26" s="11" t="str">
        <f t="shared" ca="1" si="2"/>
        <v>=G14+G15+G17</v>
      </c>
      <c r="M26" s="11" t="s">
        <v>84</v>
      </c>
      <c r="P26" s="53">
        <v>45414</v>
      </c>
      <c r="Q26" s="41">
        <v>19124.44921875</v>
      </c>
      <c r="R26" s="41">
        <v>1393.22778320312</v>
      </c>
      <c r="S26" s="41">
        <f t="shared" si="0"/>
        <v>8.1098970271329604E-3</v>
      </c>
      <c r="T26" s="41">
        <f t="shared" si="0"/>
        <v>1.4321499116526333E-2</v>
      </c>
    </row>
    <row r="27" spans="1:20">
      <c r="A27" s="3"/>
      <c r="B27" s="7" t="s">
        <v>85</v>
      </c>
      <c r="C27" s="8" t="s">
        <v>19</v>
      </c>
      <c r="D27" s="3"/>
      <c r="E27" s="3"/>
      <c r="F27" s="7" t="s">
        <v>86</v>
      </c>
      <c r="G27" s="10">
        <v>1696.84</v>
      </c>
      <c r="H27" s="21"/>
      <c r="I27" s="21"/>
      <c r="J27" s="3" t="s">
        <v>87</v>
      </c>
      <c r="K27" s="21">
        <f>K25-K26</f>
        <v>16627.059999999998</v>
      </c>
      <c r="L27" s="11" t="str">
        <f ca="1">_xlfn.FORMULATEXT(K27)</f>
        <v>=K25-K26</v>
      </c>
      <c r="M27" s="11" t="s">
        <v>88</v>
      </c>
      <c r="P27" s="53">
        <v>45415</v>
      </c>
      <c r="Q27" s="41">
        <v>19133.400390625</v>
      </c>
      <c r="R27" s="41">
        <v>1397.8388671875</v>
      </c>
      <c r="S27" s="41">
        <f t="shared" si="0"/>
        <v>4.6804861006005281E-4</v>
      </c>
      <c r="T27" s="41">
        <f t="shared" si="0"/>
        <v>3.3096411369136097E-3</v>
      </c>
    </row>
    <row r="28" spans="1:20">
      <c r="A28" s="3"/>
      <c r="B28" s="7" t="s">
        <v>89</v>
      </c>
      <c r="C28" s="8" t="s">
        <v>19</v>
      </c>
      <c r="D28" s="3"/>
      <c r="E28" s="3"/>
      <c r="F28" s="7" t="s">
        <v>90</v>
      </c>
      <c r="G28" s="8">
        <v>0</v>
      </c>
      <c r="H28" s="3"/>
      <c r="I28" s="3"/>
      <c r="J28" s="3" t="s">
        <v>91</v>
      </c>
      <c r="K28" s="21">
        <f>G25+G19</f>
        <v>5791.78</v>
      </c>
      <c r="L28" s="11" t="str">
        <f ca="1">_xlfn.FORMULATEXT(K28)</f>
        <v>=G25+G19</v>
      </c>
      <c r="M28" s="11" t="s">
        <v>92</v>
      </c>
      <c r="P28" s="53">
        <v>45418</v>
      </c>
      <c r="Q28" s="41">
        <v>19203.30078125</v>
      </c>
      <c r="R28" s="41">
        <v>1396.51440429687</v>
      </c>
      <c r="S28" s="41">
        <f t="shared" si="0"/>
        <v>3.6533177165544422E-3</v>
      </c>
      <c r="T28" s="41">
        <f t="shared" si="0"/>
        <v>-9.4750755735878715E-4</v>
      </c>
    </row>
    <row r="29" spans="1:20">
      <c r="A29" s="3"/>
      <c r="B29" s="7" t="s">
        <v>93</v>
      </c>
      <c r="C29" s="10">
        <v>5182.58</v>
      </c>
      <c r="D29" s="3"/>
      <c r="E29" s="3"/>
      <c r="F29" s="7" t="s">
        <v>94</v>
      </c>
      <c r="G29" s="8">
        <v>-150.25</v>
      </c>
      <c r="H29" s="3"/>
      <c r="I29" s="3"/>
      <c r="J29" s="3" t="s">
        <v>95</v>
      </c>
      <c r="K29" s="21">
        <f>G25</f>
        <v>5701.9</v>
      </c>
      <c r="L29" s="11" t="str">
        <f ca="1">_xlfn.FORMULATEXT(K29)</f>
        <v>=G25</v>
      </c>
      <c r="M29" s="11" t="s">
        <v>96</v>
      </c>
      <c r="P29" s="53">
        <v>45419</v>
      </c>
      <c r="Q29" s="41">
        <v>18846.30078125</v>
      </c>
      <c r="R29" s="41">
        <v>1360.998046875</v>
      </c>
      <c r="S29" s="41">
        <f t="shared" si="0"/>
        <v>-1.8590553992081031E-2</v>
      </c>
      <c r="T29" s="41">
        <f t="shared" si="0"/>
        <v>-2.5432145427638535E-2</v>
      </c>
    </row>
    <row r="30" spans="1:20">
      <c r="A30" s="3"/>
      <c r="B30" s="7" t="s">
        <v>97</v>
      </c>
      <c r="C30" s="10">
        <v>1312.6</v>
      </c>
      <c r="D30" s="3"/>
      <c r="E30" s="3"/>
      <c r="F30" s="7" t="s">
        <v>98</v>
      </c>
      <c r="G30" s="8">
        <v>0</v>
      </c>
      <c r="H30" s="3"/>
      <c r="I30" s="3"/>
      <c r="J30" s="3" t="s">
        <v>16</v>
      </c>
      <c r="P30" s="53">
        <v>45420</v>
      </c>
      <c r="Q30" s="41">
        <v>18850.849609375</v>
      </c>
      <c r="R30" s="41">
        <v>1358.59448242187</v>
      </c>
      <c r="S30" s="41">
        <f t="shared" si="0"/>
        <v>2.4136450849418601E-4</v>
      </c>
      <c r="T30" s="41">
        <f t="shared" si="0"/>
        <v>-1.766030787956565E-3</v>
      </c>
    </row>
    <row r="31" spans="1:20">
      <c r="A31" s="3"/>
      <c r="B31" s="7" t="s">
        <v>99</v>
      </c>
      <c r="C31" s="8">
        <v>864.32</v>
      </c>
      <c r="D31" s="3"/>
      <c r="E31" s="3"/>
      <c r="F31" s="7" t="s">
        <v>100</v>
      </c>
      <c r="G31" s="10">
        <v>1546.59</v>
      </c>
      <c r="H31" s="21"/>
      <c r="I31" s="21"/>
      <c r="J31" s="3" t="s">
        <v>11</v>
      </c>
      <c r="K31">
        <f>'CIPLA Beta Calc'!H7</f>
        <v>0.95555412183341626</v>
      </c>
      <c r="P31" s="53">
        <v>45421</v>
      </c>
      <c r="Q31" s="41">
        <v>18437.05078125</v>
      </c>
      <c r="R31" s="41">
        <v>1333.13464355468</v>
      </c>
      <c r="S31" s="41">
        <f t="shared" si="0"/>
        <v>-2.1951203086316463E-2</v>
      </c>
      <c r="T31" s="41">
        <f t="shared" si="0"/>
        <v>-1.8739836792068046E-2</v>
      </c>
    </row>
    <row r="32" spans="1:20">
      <c r="A32" s="3"/>
      <c r="B32" s="7" t="s">
        <v>101</v>
      </c>
      <c r="C32" s="10">
        <v>7647.9</v>
      </c>
      <c r="D32" s="3"/>
      <c r="E32" s="3"/>
      <c r="F32" s="7" t="s">
        <v>102</v>
      </c>
      <c r="G32" s="10">
        <v>4155.3100000000004</v>
      </c>
      <c r="H32" s="21"/>
      <c r="I32" s="21"/>
      <c r="J32" s="3" t="s">
        <v>103</v>
      </c>
      <c r="K32">
        <f>'CIPLA Beta Calc'!H10*252</f>
        <v>0.11078640540451196</v>
      </c>
      <c r="P32" s="53">
        <v>45422</v>
      </c>
      <c r="Q32" s="41">
        <v>18609.44921875</v>
      </c>
      <c r="R32" s="41">
        <v>1314.24816894531</v>
      </c>
      <c r="S32" s="41">
        <f t="shared" si="0"/>
        <v>9.3506515518916242E-3</v>
      </c>
      <c r="T32" s="41">
        <f t="shared" si="0"/>
        <v>-1.4166967080692587E-2</v>
      </c>
    </row>
    <row r="33" spans="1:20">
      <c r="A33" s="3"/>
      <c r="B33" s="7" t="s">
        <v>104</v>
      </c>
      <c r="C33" s="8">
        <v>642.21</v>
      </c>
      <c r="D33" s="3"/>
      <c r="E33" s="3"/>
      <c r="F33" s="7" t="s">
        <v>105</v>
      </c>
      <c r="G33" s="10">
        <v>4155.3100000000004</v>
      </c>
      <c r="H33" s="21"/>
      <c r="I33" s="21"/>
      <c r="J33" s="3" t="s">
        <v>106</v>
      </c>
      <c r="K33" s="25">
        <f>6.7/100</f>
        <v>6.7000000000000004E-2</v>
      </c>
      <c r="L33" s="22" t="s">
        <v>107</v>
      </c>
      <c r="M33" s="22" t="s">
        <v>108</v>
      </c>
      <c r="P33" s="53">
        <v>45425</v>
      </c>
      <c r="Q33" s="41">
        <v>18939</v>
      </c>
      <c r="R33" s="41">
        <v>1387.9296875</v>
      </c>
      <c r="S33" s="41">
        <f t="shared" si="0"/>
        <v>1.7708787475448774E-2</v>
      </c>
      <c r="T33" s="41">
        <f t="shared" si="0"/>
        <v>5.6063626562873392E-2</v>
      </c>
    </row>
    <row r="34" spans="1:20">
      <c r="A34" s="3"/>
      <c r="B34" s="7" t="s">
        <v>109</v>
      </c>
      <c r="C34" s="8">
        <v>587.79999999999995</v>
      </c>
      <c r="D34" s="3"/>
      <c r="E34" s="3"/>
      <c r="F34" s="7" t="s">
        <v>110</v>
      </c>
      <c r="G34" s="10">
        <v>4155.3100000000004</v>
      </c>
      <c r="H34" s="21"/>
      <c r="I34" s="21"/>
      <c r="J34" s="3" t="s">
        <v>16</v>
      </c>
      <c r="P34" s="53">
        <v>45426</v>
      </c>
      <c r="Q34" s="41">
        <v>18860.849609375</v>
      </c>
      <c r="R34" s="41">
        <v>1331.7119140625</v>
      </c>
      <c r="S34" s="41">
        <f t="shared" si="0"/>
        <v>-4.1264264546702571E-3</v>
      </c>
      <c r="T34" s="41">
        <f t="shared" si="0"/>
        <v>-4.0504770482114212E-2</v>
      </c>
    </row>
    <row r="35" spans="1:20">
      <c r="A35" s="3"/>
      <c r="B35" s="7" t="s">
        <v>111</v>
      </c>
      <c r="C35" s="8">
        <v>16.98</v>
      </c>
      <c r="D35" s="3"/>
      <c r="E35" s="3"/>
      <c r="F35" s="7" t="s">
        <v>33</v>
      </c>
      <c r="G35" s="8">
        <v>-32.17</v>
      </c>
      <c r="H35" s="3"/>
      <c r="I35" s="3" t="s">
        <v>16</v>
      </c>
      <c r="J35" s="3" t="s">
        <v>16</v>
      </c>
      <c r="P35" s="53">
        <v>45427</v>
      </c>
      <c r="Q35" s="41">
        <v>18886.55078125</v>
      </c>
      <c r="R35" s="41">
        <v>1380.12976074218</v>
      </c>
      <c r="S35" s="41">
        <f>(Q35-Q34)/Q34</f>
        <v>1.3626730718548829E-3</v>
      </c>
      <c r="T35" s="41">
        <f>(R35-R34)/R34</f>
        <v>3.6357598192522926E-2</v>
      </c>
    </row>
    <row r="36" spans="1:20">
      <c r="A36" s="3"/>
      <c r="B36" s="7" t="s">
        <v>112</v>
      </c>
      <c r="C36" s="10">
        <v>1269.48</v>
      </c>
      <c r="D36" s="3"/>
      <c r="E36" s="3"/>
      <c r="F36" s="7" t="s">
        <v>113</v>
      </c>
      <c r="G36" s="10">
        <v>4121.55</v>
      </c>
      <c r="H36" s="21"/>
      <c r="I36" s="3" t="s">
        <v>16</v>
      </c>
      <c r="J36" s="3" t="s">
        <v>16</v>
      </c>
      <c r="P36" s="53">
        <v>45428</v>
      </c>
      <c r="Q36" s="41">
        <v>18996.150390625</v>
      </c>
      <c r="R36" s="41">
        <v>1394.2578125</v>
      </c>
      <c r="S36" s="41">
        <f t="shared" si="0"/>
        <v>5.8030505752171115E-3</v>
      </c>
      <c r="T36" s="41">
        <f t="shared" si="0"/>
        <v>1.0236756107789811E-2</v>
      </c>
    </row>
    <row r="37" spans="1:20">
      <c r="A37" s="3"/>
      <c r="B37" s="7" t="s">
        <v>114</v>
      </c>
      <c r="C37" s="10">
        <v>13276.41</v>
      </c>
      <c r="D37" s="3"/>
      <c r="E37" s="3"/>
      <c r="F37" s="7" t="s">
        <v>115</v>
      </c>
      <c r="G37" s="8" t="s">
        <v>19</v>
      </c>
      <c r="H37" s="3"/>
      <c r="I37" s="3" t="s">
        <v>16</v>
      </c>
      <c r="P37" s="53">
        <v>45429</v>
      </c>
      <c r="Q37" s="41">
        <v>18981.599609375</v>
      </c>
      <c r="R37" s="41">
        <v>1372.62438964843</v>
      </c>
      <c r="S37" s="41">
        <f t="shared" si="0"/>
        <v>-7.6598578926713055E-4</v>
      </c>
      <c r="T37" s="41">
        <f t="shared" si="0"/>
        <v>-1.5516085086717061E-2</v>
      </c>
    </row>
    <row r="38" spans="1:20">
      <c r="A38" s="3"/>
      <c r="B38" s="7" t="s">
        <v>116</v>
      </c>
      <c r="C38" s="8" t="s">
        <v>19</v>
      </c>
      <c r="D38" s="3"/>
      <c r="E38" s="3"/>
      <c r="F38" s="7" t="s">
        <v>117</v>
      </c>
      <c r="G38" s="8" t="s">
        <v>19</v>
      </c>
      <c r="H38" s="3"/>
      <c r="I38" s="3" t="s">
        <v>16</v>
      </c>
      <c r="P38" s="53">
        <v>45433</v>
      </c>
      <c r="Q38" s="41">
        <v>19205.19921875</v>
      </c>
      <c r="R38" s="41">
        <v>1415.05737304687</v>
      </c>
      <c r="S38" s="41">
        <f t="shared" si="0"/>
        <v>1.17798085502006E-2</v>
      </c>
      <c r="T38" s="41">
        <f t="shared" si="0"/>
        <v>3.0913761782499254E-2</v>
      </c>
    </row>
    <row r="39" spans="1:20">
      <c r="A39" s="3"/>
      <c r="B39" s="7" t="s">
        <v>118</v>
      </c>
      <c r="C39" s="10">
        <v>4807.01</v>
      </c>
      <c r="D39" s="3"/>
      <c r="E39" s="3"/>
      <c r="F39" s="7" t="s">
        <v>119</v>
      </c>
      <c r="G39" s="8">
        <v>51</v>
      </c>
      <c r="H39" s="3"/>
      <c r="I39" s="3" t="s">
        <v>16</v>
      </c>
      <c r="P39" s="53">
        <v>45434</v>
      </c>
      <c r="Q39" s="41">
        <v>19317.400390625</v>
      </c>
      <c r="R39" s="41">
        <v>1454.30187988281</v>
      </c>
      <c r="S39" s="41">
        <f t="shared" si="0"/>
        <v>5.842229002522307E-3</v>
      </c>
      <c r="T39" s="41">
        <f t="shared" si="0"/>
        <v>2.7733509314494864E-2</v>
      </c>
    </row>
    <row r="40" spans="1:20">
      <c r="A40" s="3"/>
      <c r="B40" s="7" t="s">
        <v>120</v>
      </c>
      <c r="C40" s="10">
        <v>5237.95</v>
      </c>
      <c r="D40" s="3"/>
      <c r="E40" s="3"/>
      <c r="F40" s="7" t="s">
        <v>121</v>
      </c>
      <c r="G40" s="8">
        <v>51</v>
      </c>
      <c r="H40" s="3"/>
      <c r="I40" s="3" t="s">
        <v>16</v>
      </c>
      <c r="P40" s="53">
        <v>45435</v>
      </c>
      <c r="Q40" s="41">
        <v>19216.349609375</v>
      </c>
      <c r="R40" s="41">
        <v>1461.0224609375</v>
      </c>
      <c r="S40" s="41">
        <f t="shared" si="0"/>
        <v>-5.2310755695182121E-3</v>
      </c>
      <c r="T40" s="41">
        <f t="shared" si="0"/>
        <v>4.6211733256038678E-3</v>
      </c>
    </row>
    <row r="41" spans="1:20">
      <c r="A41" s="3"/>
      <c r="B41" s="7" t="s">
        <v>122</v>
      </c>
      <c r="C41" s="10">
        <v>4770.66</v>
      </c>
      <c r="D41" s="3"/>
      <c r="E41" s="3"/>
      <c r="F41" s="7" t="s">
        <v>123</v>
      </c>
      <c r="G41" s="8" t="s">
        <v>19</v>
      </c>
      <c r="H41" s="3"/>
      <c r="I41" s="3" t="s">
        <v>16</v>
      </c>
      <c r="P41" s="53">
        <v>45436</v>
      </c>
      <c r="Q41" s="41">
        <v>19119.5</v>
      </c>
      <c r="R41" s="41">
        <v>1458.37341308593</v>
      </c>
      <c r="S41" s="41">
        <f t="shared" si="0"/>
        <v>-5.0399587509456214E-3</v>
      </c>
      <c r="T41" s="41">
        <f t="shared" si="0"/>
        <v>-1.8131465616689961E-3</v>
      </c>
    </row>
    <row r="42" spans="1:20">
      <c r="A42" s="3"/>
      <c r="B42" s="7" t="s">
        <v>124</v>
      </c>
      <c r="C42" s="8">
        <v>874.97</v>
      </c>
      <c r="D42" s="3"/>
      <c r="E42" s="3"/>
      <c r="F42" s="7" t="s">
        <v>125</v>
      </c>
      <c r="G42" s="8">
        <v>686.17</v>
      </c>
      <c r="H42" s="3"/>
      <c r="I42" s="3" t="s">
        <v>16</v>
      </c>
      <c r="P42" s="53">
        <v>45439</v>
      </c>
      <c r="Q42" s="41">
        <v>19111.94921875</v>
      </c>
      <c r="R42" s="41">
        <v>1450.72094726562</v>
      </c>
      <c r="S42" s="41">
        <f t="shared" si="0"/>
        <v>-3.9492566489709459E-4</v>
      </c>
      <c r="T42" s="41">
        <f t="shared" si="0"/>
        <v>-5.2472609220962953E-3</v>
      </c>
    </row>
    <row r="43" spans="1:20">
      <c r="A43" s="3"/>
      <c r="B43" s="7" t="s">
        <v>126</v>
      </c>
      <c r="C43" s="8">
        <v>0.24</v>
      </c>
      <c r="D43" s="3"/>
      <c r="E43" s="3"/>
      <c r="F43" s="7" t="s">
        <v>127</v>
      </c>
      <c r="G43" s="8">
        <v>0</v>
      </c>
      <c r="H43" s="3"/>
      <c r="I43" s="3" t="s">
        <v>16</v>
      </c>
      <c r="P43" s="53">
        <v>45440</v>
      </c>
      <c r="Q43" s="41">
        <v>19215.75</v>
      </c>
      <c r="R43" s="41">
        <v>1451.50561523437</v>
      </c>
      <c r="S43" s="41">
        <f t="shared" si="0"/>
        <v>5.4311980458887485E-3</v>
      </c>
      <c r="T43" s="41">
        <f t="shared" si="0"/>
        <v>5.4088139433636445E-4</v>
      </c>
    </row>
    <row r="44" spans="1:20">
      <c r="A44" s="3"/>
      <c r="B44" s="7" t="s">
        <v>128</v>
      </c>
      <c r="C44" s="10">
        <v>3750.58</v>
      </c>
      <c r="D44" s="3"/>
      <c r="E44" s="3"/>
      <c r="F44" s="3"/>
      <c r="G44" s="3"/>
      <c r="H44" s="3"/>
      <c r="I44" s="3"/>
      <c r="P44" s="53">
        <v>45441</v>
      </c>
      <c r="Q44" s="41">
        <v>19321.349609375</v>
      </c>
      <c r="R44" s="41">
        <v>1465.33935546875</v>
      </c>
      <c r="S44" s="41">
        <f t="shared" si="0"/>
        <v>5.4954716508593213E-3</v>
      </c>
      <c r="T44" s="41">
        <f t="shared" si="0"/>
        <v>9.5306143422299559E-3</v>
      </c>
    </row>
    <row r="45" spans="1:20">
      <c r="A45" s="3"/>
      <c r="B45" s="7" t="s">
        <v>129</v>
      </c>
      <c r="C45" s="10">
        <v>19441.41</v>
      </c>
      <c r="D45" s="3"/>
      <c r="E45" s="3"/>
      <c r="F45" s="3"/>
      <c r="G45" s="3"/>
      <c r="H45" s="3"/>
      <c r="I45" s="3"/>
      <c r="P45" s="53">
        <v>45442</v>
      </c>
      <c r="Q45" s="41">
        <v>18971</v>
      </c>
      <c r="R45" s="41">
        <v>1438.89831542968</v>
      </c>
      <c r="S45" s="41">
        <f t="shared" si="0"/>
        <v>-1.8132771077492706E-2</v>
      </c>
      <c r="T45" s="41">
        <f t="shared" si="0"/>
        <v>-1.8044311674555231E-2</v>
      </c>
    </row>
    <row r="46" spans="1:20">
      <c r="A46" s="3"/>
      <c r="B46" s="7" t="s">
        <v>130</v>
      </c>
      <c r="C46" s="10">
        <v>32717.82</v>
      </c>
      <c r="D46" s="3"/>
      <c r="E46" s="3"/>
      <c r="F46" s="3"/>
      <c r="G46" s="3"/>
      <c r="H46" s="3"/>
      <c r="I46" s="3"/>
      <c r="P46" s="53">
        <v>45443</v>
      </c>
      <c r="Q46" s="41">
        <v>18796.30078125</v>
      </c>
      <c r="R46" s="41">
        <v>1419.86486816406</v>
      </c>
      <c r="S46" s="41">
        <f t="shared" si="0"/>
        <v>-9.2087511860207694E-3</v>
      </c>
      <c r="T46" s="41">
        <f t="shared" si="0"/>
        <v>-1.322779174978482E-2</v>
      </c>
    </row>
    <row r="47" spans="1:20">
      <c r="A47" s="3"/>
      <c r="B47" s="7" t="s">
        <v>115</v>
      </c>
      <c r="C47" s="8" t="s">
        <v>19</v>
      </c>
      <c r="D47" s="3"/>
      <c r="E47" s="3"/>
      <c r="F47" s="3"/>
      <c r="G47" s="3"/>
      <c r="H47" s="3"/>
      <c r="I47" s="3"/>
      <c r="P47" s="53">
        <v>45446</v>
      </c>
      <c r="Q47" s="41">
        <v>18864.150390625</v>
      </c>
      <c r="R47" s="41">
        <v>1424.91760253906</v>
      </c>
      <c r="S47" s="41">
        <f t="shared" si="0"/>
        <v>3.6097320512492796E-3</v>
      </c>
      <c r="T47" s="41">
        <f t="shared" si="0"/>
        <v>3.5586022925782933E-3</v>
      </c>
    </row>
    <row r="48" spans="1:20">
      <c r="A48" s="3"/>
      <c r="B48" s="7" t="s">
        <v>131</v>
      </c>
      <c r="C48" s="8" t="s">
        <v>19</v>
      </c>
      <c r="D48" s="3"/>
      <c r="E48" s="3"/>
      <c r="F48" s="3"/>
      <c r="G48" s="3"/>
      <c r="H48" s="3"/>
      <c r="I48" s="3"/>
      <c r="P48" s="53">
        <v>45447</v>
      </c>
      <c r="Q48" s="41">
        <v>18603.150390625</v>
      </c>
      <c r="R48" s="41">
        <v>1434.92492675781</v>
      </c>
      <c r="S48" s="41">
        <f t="shared" si="0"/>
        <v>-1.3835767558856524E-2</v>
      </c>
      <c r="T48" s="41">
        <f t="shared" si="0"/>
        <v>7.0230897568518726E-3</v>
      </c>
    </row>
    <row r="49" spans="1:20">
      <c r="A49" s="3"/>
      <c r="B49" s="7" t="s">
        <v>132</v>
      </c>
      <c r="C49" s="10">
        <v>4629.5600000000004</v>
      </c>
      <c r="D49" s="3"/>
      <c r="E49" s="3"/>
      <c r="F49" s="3"/>
      <c r="G49" s="3"/>
      <c r="H49" s="3"/>
      <c r="I49" s="3"/>
      <c r="P49" s="53">
        <v>45448</v>
      </c>
      <c r="Q49" s="41">
        <v>19281.25</v>
      </c>
      <c r="R49" s="41">
        <v>1468.67504882812</v>
      </c>
      <c r="S49" s="41">
        <f t="shared" si="0"/>
        <v>3.6450794362052043E-2</v>
      </c>
      <c r="T49" s="41">
        <f t="shared" si="0"/>
        <v>2.3520479323310566E-2</v>
      </c>
    </row>
    <row r="50" spans="1:20">
      <c r="A50" s="3"/>
      <c r="B50" s="7" t="s">
        <v>133</v>
      </c>
      <c r="C50" s="8" t="s">
        <v>19</v>
      </c>
      <c r="D50" s="3"/>
      <c r="E50" s="3"/>
      <c r="F50" s="3"/>
      <c r="G50" s="3"/>
      <c r="H50" s="3"/>
      <c r="I50" s="3"/>
      <c r="P50" s="53">
        <v>45449</v>
      </c>
      <c r="Q50" s="41">
        <v>19232.099609375</v>
      </c>
      <c r="R50" s="41">
        <v>1449.10192871093</v>
      </c>
      <c r="S50" s="41">
        <f t="shared" si="0"/>
        <v>-2.5491288492706645E-3</v>
      </c>
      <c r="T50" s="41">
        <f t="shared" si="0"/>
        <v>-1.3327059741913444E-2</v>
      </c>
    </row>
    <row r="51" spans="1:20">
      <c r="A51" s="3"/>
      <c r="B51" s="7" t="s">
        <v>134</v>
      </c>
      <c r="C51" s="8">
        <v>151.66</v>
      </c>
      <c r="D51" s="3"/>
      <c r="E51" s="3"/>
      <c r="F51" s="3"/>
      <c r="G51" s="3"/>
      <c r="H51" s="3"/>
      <c r="I51" s="3"/>
      <c r="P51" s="53">
        <v>45450</v>
      </c>
      <c r="Q51" s="41">
        <v>19578</v>
      </c>
      <c r="R51" s="41">
        <v>1468.96948242187</v>
      </c>
      <c r="S51" s="41">
        <f t="shared" si="0"/>
        <v>1.7985576075967558E-2</v>
      </c>
      <c r="T51" s="41">
        <f t="shared" si="0"/>
        <v>1.3710252755383106E-2</v>
      </c>
    </row>
    <row r="52" spans="1:20">
      <c r="A52" s="3"/>
      <c r="B52" s="7" t="s">
        <v>135</v>
      </c>
      <c r="C52" s="8" t="s">
        <v>19</v>
      </c>
      <c r="D52" s="3"/>
      <c r="E52" s="3"/>
      <c r="F52" s="3"/>
      <c r="G52" s="3"/>
      <c r="H52" s="3"/>
      <c r="I52" s="3"/>
      <c r="P52" s="53">
        <v>45453</v>
      </c>
      <c r="Q52" s="41">
        <v>19774.69921875</v>
      </c>
      <c r="R52" s="41">
        <v>1505.27062988281</v>
      </c>
      <c r="S52" s="41">
        <f t="shared" si="0"/>
        <v>1.0046951616610482E-2</v>
      </c>
      <c r="T52" s="41">
        <f t="shared" si="0"/>
        <v>2.4711982035930925E-2</v>
      </c>
    </row>
    <row r="53" spans="1:20">
      <c r="A53" s="3"/>
      <c r="B53" s="7" t="s">
        <v>136</v>
      </c>
      <c r="C53" s="8">
        <v>0</v>
      </c>
      <c r="D53" s="3"/>
      <c r="E53" s="3"/>
      <c r="F53" s="3"/>
      <c r="G53" s="3"/>
      <c r="H53" s="3"/>
      <c r="I53" s="3"/>
      <c r="P53" s="53">
        <v>45454</v>
      </c>
      <c r="Q53" s="41">
        <v>19689.69921875</v>
      </c>
      <c r="R53" s="41">
        <v>1501.34619140625</v>
      </c>
      <c r="S53" s="41">
        <f t="shared" si="0"/>
        <v>-4.2984218905036285E-3</v>
      </c>
      <c r="T53" s="41">
        <f t="shared" si="0"/>
        <v>-2.6071315009085967E-3</v>
      </c>
    </row>
    <row r="54" spans="1:20">
      <c r="A54" s="3"/>
      <c r="B54" s="7" t="s">
        <v>137</v>
      </c>
      <c r="C54" s="8">
        <v>512.16</v>
      </c>
      <c r="D54" s="3"/>
      <c r="E54" s="3"/>
      <c r="F54" s="3"/>
      <c r="G54" s="3"/>
      <c r="H54" s="3"/>
      <c r="I54" s="3"/>
      <c r="P54" s="53">
        <v>45455</v>
      </c>
      <c r="Q54" s="41">
        <v>19739.099609375</v>
      </c>
      <c r="R54" s="41">
        <v>1511.84411621093</v>
      </c>
      <c r="S54" s="41">
        <f t="shared" si="0"/>
        <v>2.5089459252865204E-3</v>
      </c>
      <c r="T54" s="41">
        <f t="shared" si="0"/>
        <v>6.9923411833795754E-3</v>
      </c>
    </row>
    <row r="55" spans="1:20">
      <c r="A55" s="3"/>
      <c r="B55" s="7" t="s">
        <v>138</v>
      </c>
      <c r="C55" s="8" t="s">
        <v>19</v>
      </c>
      <c r="D55" s="3"/>
      <c r="E55" s="3"/>
      <c r="F55" s="3"/>
      <c r="G55" s="3"/>
      <c r="H55" s="3"/>
      <c r="I55" s="3"/>
      <c r="P55" s="53">
        <v>45456</v>
      </c>
      <c r="Q55" s="41">
        <v>19838.5</v>
      </c>
      <c r="R55" s="41">
        <v>1515.37622070312</v>
      </c>
      <c r="S55" s="41">
        <f t="shared" si="0"/>
        <v>5.0357104727203573E-3</v>
      </c>
      <c r="T55" s="41">
        <f t="shared" si="0"/>
        <v>2.3362888106760391E-3</v>
      </c>
    </row>
    <row r="56" spans="1:20">
      <c r="A56" s="3"/>
      <c r="B56" s="7" t="s">
        <v>139</v>
      </c>
      <c r="C56" s="8">
        <v>0</v>
      </c>
      <c r="D56" s="3"/>
      <c r="E56" s="3"/>
      <c r="F56" s="3"/>
      <c r="G56" s="3"/>
      <c r="H56" s="3"/>
      <c r="I56" s="3"/>
      <c r="P56" s="53">
        <v>45457</v>
      </c>
      <c r="Q56" s="41">
        <v>19895.650390625</v>
      </c>
      <c r="R56" s="41">
        <v>1535.19445800781</v>
      </c>
      <c r="S56" s="41">
        <f t="shared" si="0"/>
        <v>2.8807818446455126E-3</v>
      </c>
      <c r="T56" s="41">
        <f t="shared" si="0"/>
        <v>1.3078097065225511E-2</v>
      </c>
    </row>
    <row r="57" spans="1:20">
      <c r="A57" s="3"/>
      <c r="B57" s="7" t="s">
        <v>140</v>
      </c>
      <c r="C57" s="10">
        <v>4807.01</v>
      </c>
      <c r="D57" s="3"/>
      <c r="E57" s="3"/>
      <c r="F57" s="3"/>
      <c r="G57" s="3"/>
      <c r="H57" s="3"/>
      <c r="I57" s="3"/>
      <c r="P57" s="53">
        <v>45461</v>
      </c>
      <c r="Q57" s="41">
        <v>19826.650390625</v>
      </c>
      <c r="R57" s="41">
        <v>1545.0546875</v>
      </c>
      <c r="S57" s="41">
        <f t="shared" si="0"/>
        <v>-3.4680947164468364E-3</v>
      </c>
      <c r="T57" s="41">
        <f t="shared" si="0"/>
        <v>6.4227886185737127E-3</v>
      </c>
    </row>
    <row r="58" spans="1:20">
      <c r="P58" s="53">
        <v>45462</v>
      </c>
      <c r="Q58" s="41">
        <v>19644.5</v>
      </c>
      <c r="R58" s="41">
        <v>1530.33801269531</v>
      </c>
      <c r="S58" s="41">
        <f t="shared" si="0"/>
        <v>-9.1871489654717226E-3</v>
      </c>
      <c r="T58" s="41">
        <f t="shared" si="0"/>
        <v>-9.5250187088863156E-3</v>
      </c>
    </row>
    <row r="59" spans="1:20">
      <c r="P59" s="53">
        <v>45463</v>
      </c>
      <c r="Q59" s="41">
        <v>19544.55078125</v>
      </c>
      <c r="R59" s="41">
        <v>1515.67041015625</v>
      </c>
      <c r="S59" s="41">
        <f t="shared" si="0"/>
        <v>-5.0878983303214642E-3</v>
      </c>
      <c r="T59" s="41">
        <f t="shared" si="0"/>
        <v>-9.5845508752845157E-3</v>
      </c>
    </row>
    <row r="60" spans="1:20">
      <c r="P60" s="53">
        <v>45464</v>
      </c>
      <c r="Q60" s="41">
        <v>19528.400390625</v>
      </c>
      <c r="R60" s="41">
        <v>1512.43273925781</v>
      </c>
      <c r="S60" s="41">
        <f t="shared" si="0"/>
        <v>-8.2633726432299601E-4</v>
      </c>
      <c r="T60" s="41">
        <f t="shared" si="0"/>
        <v>-2.136131230605888E-3</v>
      </c>
    </row>
    <row r="61" spans="1:20">
      <c r="P61" s="53">
        <v>45467</v>
      </c>
      <c r="Q61" s="41">
        <v>19521.150390625</v>
      </c>
      <c r="R61" s="41">
        <v>1475.98449707031</v>
      </c>
      <c r="S61" s="41">
        <f t="shared" si="0"/>
        <v>-3.7125416598281691E-4</v>
      </c>
      <c r="T61" s="41">
        <f t="shared" si="0"/>
        <v>-2.40990830477434E-2</v>
      </c>
    </row>
    <row r="62" spans="1:20">
      <c r="P62" s="53">
        <v>45468</v>
      </c>
      <c r="Q62" s="41">
        <v>19532.30078125</v>
      </c>
      <c r="R62" s="41">
        <v>1471.37316894531</v>
      </c>
      <c r="S62" s="41">
        <f t="shared" si="0"/>
        <v>5.7119536512330522E-4</v>
      </c>
      <c r="T62" s="41">
        <f t="shared" si="0"/>
        <v>-3.1242388616906556E-3</v>
      </c>
    </row>
    <row r="63" spans="1:20">
      <c r="P63" s="53">
        <v>45469</v>
      </c>
      <c r="Q63" s="41">
        <v>19545.349609375</v>
      </c>
      <c r="R63" s="41">
        <v>1451.16235351562</v>
      </c>
      <c r="S63" s="41">
        <f t="shared" si="0"/>
        <v>6.6806405815367134E-4</v>
      </c>
      <c r="T63" s="41">
        <f t="shared" si="0"/>
        <v>-1.3736022822937058E-2</v>
      </c>
    </row>
    <row r="64" spans="1:20">
      <c r="P64" s="53">
        <v>45470</v>
      </c>
      <c r="Q64" s="41">
        <v>19514.80078125</v>
      </c>
      <c r="R64" s="41">
        <v>1452.92834472656</v>
      </c>
      <c r="S64" s="41">
        <f t="shared" si="0"/>
        <v>-1.5629716907364574E-3</v>
      </c>
      <c r="T64" s="41">
        <f t="shared" si="0"/>
        <v>1.2169494382635198E-3</v>
      </c>
    </row>
    <row r="65" spans="16:20">
      <c r="P65" s="53">
        <v>45471</v>
      </c>
      <c r="Q65" s="41">
        <v>19731.55078125</v>
      </c>
      <c r="R65" s="41">
        <v>1452.83020019531</v>
      </c>
      <c r="S65" s="41">
        <f t="shared" si="0"/>
        <v>1.1106954276891998E-2</v>
      </c>
      <c r="T65" s="41">
        <f t="shared" si="0"/>
        <v>-6.7549464229408183E-5</v>
      </c>
    </row>
    <row r="66" spans="16:20">
      <c r="P66" s="53">
        <v>45474</v>
      </c>
      <c r="Q66" s="41">
        <v>19758.25</v>
      </c>
      <c r="R66" s="41">
        <v>1451.16235351562</v>
      </c>
      <c r="S66" s="41">
        <f t="shared" si="0"/>
        <v>1.353123180534348E-3</v>
      </c>
      <c r="T66" s="41">
        <f t="shared" si="0"/>
        <v>-1.1479983548426964E-3</v>
      </c>
    </row>
    <row r="67" spans="16:20">
      <c r="P67" s="53">
        <v>45475</v>
      </c>
      <c r="Q67" s="41">
        <v>19786.400390625</v>
      </c>
      <c r="R67" s="41">
        <v>1460.53198242187</v>
      </c>
      <c r="S67" s="41">
        <f t="shared" si="0"/>
        <v>1.4247410891652854E-3</v>
      </c>
      <c r="T67" s="41">
        <f t="shared" si="0"/>
        <v>6.4566372491340592E-3</v>
      </c>
    </row>
    <row r="68" spans="16:20">
      <c r="P68" s="53">
        <v>45476</v>
      </c>
      <c r="Q68" s="41">
        <v>19915.30078125</v>
      </c>
      <c r="R68" s="41">
        <v>1455.72448730468</v>
      </c>
      <c r="S68" s="41">
        <f t="shared" si="0"/>
        <v>6.514595281619507E-3</v>
      </c>
      <c r="T68" s="41">
        <f t="shared" si="0"/>
        <v>-3.2916055074796516E-3</v>
      </c>
    </row>
    <row r="69" spans="16:20">
      <c r="P69" s="53">
        <v>45477</v>
      </c>
      <c r="Q69" s="41">
        <v>20192.599609375</v>
      </c>
      <c r="R69" s="41">
        <v>1452.78112792968</v>
      </c>
      <c r="S69" s="41">
        <f t="shared" si="0"/>
        <v>1.3923908615333255E-2</v>
      </c>
      <c r="T69" s="41">
        <f t="shared" si="0"/>
        <v>-2.0219206317328101E-3</v>
      </c>
    </row>
    <row r="70" spans="16:20">
      <c r="P70" s="53">
        <v>45478</v>
      </c>
      <c r="Q70" s="41">
        <v>20453.849609375</v>
      </c>
      <c r="R70" s="41">
        <v>1481.38061523437</v>
      </c>
      <c r="S70" s="41">
        <f t="shared" si="0"/>
        <v>1.2937908196758732E-2</v>
      </c>
      <c r="T70" s="41">
        <f t="shared" si="0"/>
        <v>1.9686026170677461E-2</v>
      </c>
    </row>
    <row r="71" spans="16:20">
      <c r="P71" s="53">
        <v>45481</v>
      </c>
      <c r="Q71" s="41">
        <v>20325.80078125</v>
      </c>
      <c r="R71" s="41">
        <v>1458.96215820312</v>
      </c>
      <c r="S71" s="41">
        <f t="shared" si="0"/>
        <v>-6.2603779029600844E-3</v>
      </c>
      <c r="T71" s="41">
        <f t="shared" si="0"/>
        <v>-1.5133488855396669E-2</v>
      </c>
    </row>
    <row r="72" spans="16:20">
      <c r="P72" s="53">
        <v>45482</v>
      </c>
      <c r="Q72" s="41">
        <v>20645.80078125</v>
      </c>
      <c r="R72" s="41">
        <v>1483.48999023437</v>
      </c>
      <c r="S72" s="41">
        <f t="shared" ref="S72:T135" si="3">(Q72-Q71)/Q71</f>
        <v>1.5743537164606636E-2</v>
      </c>
      <c r="T72" s="41">
        <f t="shared" si="3"/>
        <v>1.6811835655462681E-2</v>
      </c>
    </row>
    <row r="73" spans="16:20">
      <c r="P73" s="53">
        <v>45483</v>
      </c>
      <c r="Q73" s="41">
        <v>20725.94921875</v>
      </c>
      <c r="R73" s="41">
        <v>1484.6181640625</v>
      </c>
      <c r="S73" s="41">
        <f t="shared" si="3"/>
        <v>3.8820696929706311E-3</v>
      </c>
      <c r="T73" s="41">
        <f t="shared" si="3"/>
        <v>7.6048630968636802E-4</v>
      </c>
    </row>
    <row r="74" spans="16:20">
      <c r="P74" s="53">
        <v>45484</v>
      </c>
      <c r="Q74" s="41">
        <v>20601.69921875</v>
      </c>
      <c r="R74" s="41">
        <v>1477.55419921875</v>
      </c>
      <c r="S74" s="41">
        <f t="shared" si="3"/>
        <v>-5.9949003391167061E-3</v>
      </c>
      <c r="T74" s="41">
        <f t="shared" si="3"/>
        <v>-4.7581021266910883E-3</v>
      </c>
    </row>
    <row r="75" spans="16:20">
      <c r="P75" s="53">
        <v>45485</v>
      </c>
      <c r="Q75" s="41">
        <v>20612.650390625</v>
      </c>
      <c r="R75" s="41">
        <v>1483.48999023437</v>
      </c>
      <c r="S75" s="41">
        <f t="shared" si="3"/>
        <v>5.3156643822045171E-4</v>
      </c>
      <c r="T75" s="41">
        <f t="shared" si="3"/>
        <v>4.0173084809738422E-3</v>
      </c>
    </row>
    <row r="76" spans="16:20">
      <c r="P76" s="53">
        <v>45488</v>
      </c>
      <c r="Q76" s="41">
        <v>20844.55078125</v>
      </c>
      <c r="R76" s="41">
        <v>1488.54260253906</v>
      </c>
      <c r="S76" s="41">
        <f t="shared" si="3"/>
        <v>1.125039168812917E-2</v>
      </c>
      <c r="T76" s="41">
        <f t="shared" si="3"/>
        <v>3.4058957849063486E-3</v>
      </c>
    </row>
    <row r="77" spans="16:20">
      <c r="P77" s="53">
        <v>45489</v>
      </c>
      <c r="Q77" s="41">
        <v>20765.44921875</v>
      </c>
      <c r="R77" s="41">
        <v>1481.87121582031</v>
      </c>
      <c r="S77" s="41">
        <f t="shared" si="3"/>
        <v>-3.7948317202956034E-3</v>
      </c>
      <c r="T77" s="41">
        <f t="shared" si="3"/>
        <v>-4.4818245089998628E-3</v>
      </c>
    </row>
    <row r="78" spans="16:20">
      <c r="P78" s="53">
        <v>45491</v>
      </c>
      <c r="Q78" s="41">
        <v>20768.349609375</v>
      </c>
      <c r="R78" s="41">
        <v>1478.19201660156</v>
      </c>
      <c r="S78" s="41">
        <f t="shared" si="3"/>
        <v>1.3967386857112221E-4</v>
      </c>
      <c r="T78" s="41">
        <f t="shared" si="3"/>
        <v>-2.4828063191127776E-3</v>
      </c>
    </row>
    <row r="79" spans="16:20">
      <c r="P79" s="53">
        <v>45492</v>
      </c>
      <c r="Q79" s="41">
        <v>20425.400390625</v>
      </c>
      <c r="R79" s="41">
        <v>1457.44140625</v>
      </c>
      <c r="S79" s="41">
        <f t="shared" si="3"/>
        <v>-1.6513070378745453E-2</v>
      </c>
      <c r="T79" s="41">
        <f t="shared" si="3"/>
        <v>-1.4037831430903494E-2</v>
      </c>
    </row>
    <row r="80" spans="16:20">
      <c r="P80" s="53">
        <v>45495</v>
      </c>
      <c r="Q80" s="41">
        <v>20641.55078125</v>
      </c>
      <c r="R80" s="41">
        <v>1461.8564453125</v>
      </c>
      <c r="S80" s="41">
        <f t="shared" si="3"/>
        <v>1.0582431016833838E-2</v>
      </c>
      <c r="T80" s="41">
        <f t="shared" si="3"/>
        <v>3.0293081036169441E-3</v>
      </c>
    </row>
    <row r="81" spans="16:20">
      <c r="P81" s="53">
        <v>45496</v>
      </c>
      <c r="Q81" s="41">
        <v>20755.349609375</v>
      </c>
      <c r="R81" s="41">
        <v>1469.60729980468</v>
      </c>
      <c r="S81" s="41">
        <f t="shared" si="3"/>
        <v>5.5130948895744077E-3</v>
      </c>
      <c r="T81" s="41">
        <f t="shared" si="3"/>
        <v>5.3020626731396341E-3</v>
      </c>
    </row>
    <row r="82" spans="16:20">
      <c r="P82" s="53">
        <v>45497</v>
      </c>
      <c r="Q82" s="41">
        <v>20908.5</v>
      </c>
      <c r="R82" s="41">
        <v>1475.10144042968</v>
      </c>
      <c r="S82" s="41">
        <f t="shared" si="3"/>
        <v>7.3788393598450096E-3</v>
      </c>
      <c r="T82" s="41">
        <f t="shared" si="3"/>
        <v>3.7385093458165361E-3</v>
      </c>
    </row>
    <row r="83" spans="16:20">
      <c r="P83" s="53">
        <v>45498</v>
      </c>
      <c r="Q83" s="41">
        <v>21105.5</v>
      </c>
      <c r="R83" s="41">
        <v>1471.71667480468</v>
      </c>
      <c r="S83" s="41">
        <f t="shared" si="3"/>
        <v>9.4220054045005622E-3</v>
      </c>
      <c r="T83" s="41">
        <f t="shared" si="3"/>
        <v>-2.2945985491099898E-3</v>
      </c>
    </row>
    <row r="84" spans="16:20">
      <c r="P84" s="53">
        <v>45499</v>
      </c>
      <c r="Q84" s="41">
        <v>21603.099609375</v>
      </c>
      <c r="R84" s="41">
        <v>1545.25085449218</v>
      </c>
      <c r="S84" s="41">
        <f t="shared" si="3"/>
        <v>2.3576774270924642E-2</v>
      </c>
      <c r="T84" s="41">
        <f t="shared" si="3"/>
        <v>4.9964902176065341E-2</v>
      </c>
    </row>
    <row r="85" spans="16:20">
      <c r="P85" s="53">
        <v>45502</v>
      </c>
      <c r="Q85" s="41">
        <v>21674.94921875</v>
      </c>
      <c r="R85" s="41">
        <v>1524.59851074218</v>
      </c>
      <c r="S85" s="41">
        <f t="shared" si="3"/>
        <v>3.3258935372320253E-3</v>
      </c>
      <c r="T85" s="41">
        <f t="shared" si="3"/>
        <v>-1.3365042763096894E-2</v>
      </c>
    </row>
    <row r="86" spans="16:20">
      <c r="P86" s="53">
        <v>45503</v>
      </c>
      <c r="Q86" s="41">
        <v>21540.80078125</v>
      </c>
      <c r="R86" s="41">
        <v>1500.02172851562</v>
      </c>
      <c r="S86" s="41">
        <f t="shared" si="3"/>
        <v>-6.1891004286162002E-3</v>
      </c>
      <c r="T86" s="41">
        <f t="shared" si="3"/>
        <v>-1.612016675432533E-2</v>
      </c>
    </row>
    <row r="87" spans="16:20">
      <c r="P87" s="53">
        <v>45504</v>
      </c>
      <c r="Q87" s="41">
        <v>21777.150390625</v>
      </c>
      <c r="R87" s="41">
        <v>1515.130859375</v>
      </c>
      <c r="S87" s="41">
        <f t="shared" si="3"/>
        <v>1.0972183057406503E-2</v>
      </c>
      <c r="T87" s="41">
        <f t="shared" si="3"/>
        <v>1.0072607997706526E-2</v>
      </c>
    </row>
    <row r="88" spans="16:20">
      <c r="P88" s="53">
        <v>45505</v>
      </c>
      <c r="Q88" s="41">
        <v>21790.349609375</v>
      </c>
      <c r="R88" s="41">
        <v>1516.99487304687</v>
      </c>
      <c r="S88" s="41">
        <f t="shared" si="3"/>
        <v>6.061040362600529E-4</v>
      </c>
      <c r="T88" s="41">
        <f t="shared" si="3"/>
        <v>1.2302657954171125E-3</v>
      </c>
    </row>
    <row r="89" spans="16:20">
      <c r="P89" s="53">
        <v>45506</v>
      </c>
      <c r="Q89" s="41">
        <v>21902.849609375</v>
      </c>
      <c r="R89" s="41">
        <v>1512.64147949218</v>
      </c>
      <c r="S89" s="41">
        <f t="shared" si="3"/>
        <v>5.1628359350231997E-3</v>
      </c>
      <c r="T89" s="41">
        <f t="shared" si="3"/>
        <v>-2.8697483637148036E-3</v>
      </c>
    </row>
    <row r="90" spans="16:20">
      <c r="P90" s="53">
        <v>45509</v>
      </c>
      <c r="Q90" s="41">
        <v>21583.05078125</v>
      </c>
      <c r="R90" s="41">
        <v>1499.03674316406</v>
      </c>
      <c r="S90" s="41">
        <f t="shared" si="3"/>
        <v>-1.4600786373847796E-2</v>
      </c>
      <c r="T90" s="41">
        <f t="shared" si="3"/>
        <v>-8.9940256911950761E-3</v>
      </c>
    </row>
    <row r="91" spans="16:20">
      <c r="P91" s="53">
        <v>45510</v>
      </c>
      <c r="Q91" s="41">
        <v>21562.55078125</v>
      </c>
      <c r="R91" s="41">
        <v>1515.70861816406</v>
      </c>
      <c r="S91" s="41">
        <f t="shared" si="3"/>
        <v>-9.4981938409787337E-4</v>
      </c>
      <c r="T91" s="41">
        <f t="shared" si="3"/>
        <v>1.1121725385336583E-2</v>
      </c>
    </row>
    <row r="92" spans="16:20">
      <c r="P92" s="53">
        <v>45511</v>
      </c>
      <c r="Q92" s="41">
        <v>22036.94921875</v>
      </c>
      <c r="R92" s="41">
        <v>1537.1298828125</v>
      </c>
      <c r="S92" s="41">
        <f t="shared" si="3"/>
        <v>2.2001035142489699E-2</v>
      </c>
      <c r="T92" s="41">
        <f t="shared" si="3"/>
        <v>1.4132838193126489E-2</v>
      </c>
    </row>
    <row r="93" spans="16:20">
      <c r="P93" s="53">
        <v>45512</v>
      </c>
      <c r="Q93" s="41">
        <v>22114.25</v>
      </c>
      <c r="R93" s="41">
        <v>1553.3564453125</v>
      </c>
      <c r="S93" s="41">
        <f t="shared" si="3"/>
        <v>3.5077805227335694E-3</v>
      </c>
      <c r="T93" s="41">
        <f t="shared" si="3"/>
        <v>1.0556402995893955E-2</v>
      </c>
    </row>
    <row r="94" spans="16:20">
      <c r="P94" s="53">
        <v>45513</v>
      </c>
      <c r="Q94" s="41">
        <v>22209.55078125</v>
      </c>
      <c r="R94" s="41">
        <v>1558.10571289062</v>
      </c>
      <c r="S94" s="41">
        <f t="shared" si="3"/>
        <v>4.3094738121347096E-3</v>
      </c>
      <c r="T94" s="41">
        <f t="shared" si="3"/>
        <v>3.0574229066687606E-3</v>
      </c>
    </row>
    <row r="95" spans="16:20">
      <c r="P95" s="53">
        <v>45516</v>
      </c>
      <c r="Q95" s="41">
        <v>22205.599609375</v>
      </c>
      <c r="R95" s="41">
        <v>1569.48425292968</v>
      </c>
      <c r="S95" s="41">
        <f t="shared" si="3"/>
        <v>-1.7790417797804823E-4</v>
      </c>
      <c r="T95" s="41">
        <f t="shared" si="3"/>
        <v>7.3028036191141159E-3</v>
      </c>
    </row>
    <row r="96" spans="16:20">
      <c r="P96" s="53">
        <v>45517</v>
      </c>
      <c r="Q96" s="41">
        <v>22191.599609375</v>
      </c>
      <c r="R96" s="41">
        <v>1566.71374511718</v>
      </c>
      <c r="S96" s="41">
        <f t="shared" si="3"/>
        <v>-6.304716038421826E-4</v>
      </c>
      <c r="T96" s="41">
        <f t="shared" si="3"/>
        <v>-1.7652345395173146E-3</v>
      </c>
    </row>
    <row r="97" spans="16:20">
      <c r="P97" s="53">
        <v>45518</v>
      </c>
      <c r="Q97" s="41">
        <v>22012.69921875</v>
      </c>
      <c r="R97" s="41">
        <v>1547.271484375</v>
      </c>
      <c r="S97" s="41">
        <f t="shared" si="3"/>
        <v>-8.061626641345054E-3</v>
      </c>
      <c r="T97" s="41">
        <f t="shared" si="3"/>
        <v>-1.2409580756391361E-2</v>
      </c>
    </row>
    <row r="98" spans="16:20">
      <c r="P98" s="53">
        <v>45520</v>
      </c>
      <c r="Q98" s="41">
        <v>22106.5</v>
      </c>
      <c r="R98" s="41">
        <v>1559.44140625</v>
      </c>
      <c r="S98" s="41">
        <f t="shared" si="3"/>
        <v>4.2612121447651577E-3</v>
      </c>
      <c r="T98" s="41">
        <f t="shared" si="3"/>
        <v>7.8654082350104702E-3</v>
      </c>
    </row>
    <row r="99" spans="16:20">
      <c r="P99" s="53">
        <v>45523</v>
      </c>
      <c r="Q99" s="41">
        <v>22237.849609375</v>
      </c>
      <c r="R99" s="41">
        <v>1558.84777832031</v>
      </c>
      <c r="S99" s="41">
        <f t="shared" si="3"/>
        <v>5.9416736876031937E-3</v>
      </c>
      <c r="T99" s="41">
        <f t="shared" si="3"/>
        <v>-3.8066703071422381E-4</v>
      </c>
    </row>
    <row r="100" spans="16:20">
      <c r="P100" s="53">
        <v>45524</v>
      </c>
      <c r="Q100" s="41">
        <v>22374.25</v>
      </c>
      <c r="R100" s="41">
        <v>1546.33154296875</v>
      </c>
      <c r="S100" s="41">
        <f t="shared" si="3"/>
        <v>6.1337041584945571E-3</v>
      </c>
      <c r="T100" s="41">
        <f t="shared" si="3"/>
        <v>-8.0291581549075276E-3</v>
      </c>
    </row>
    <row r="101" spans="16:20">
      <c r="P101" s="53">
        <v>45525</v>
      </c>
      <c r="Q101" s="41">
        <v>22577.900390625</v>
      </c>
      <c r="R101" s="41">
        <v>1577.74597167968</v>
      </c>
      <c r="S101" s="41">
        <f t="shared" si="3"/>
        <v>9.1019985306770058E-3</v>
      </c>
      <c r="T101" s="41">
        <f t="shared" si="3"/>
        <v>2.0315454893081009E-2</v>
      </c>
    </row>
    <row r="102" spans="16:20">
      <c r="P102" s="53">
        <v>45526</v>
      </c>
      <c r="Q102" s="41">
        <v>22546.099609375</v>
      </c>
      <c r="R102" s="41">
        <v>1569.0390625</v>
      </c>
      <c r="S102" s="41">
        <f t="shared" si="3"/>
        <v>-1.4084915204606275E-3</v>
      </c>
      <c r="T102" s="41">
        <f t="shared" si="3"/>
        <v>-5.5185748124018707E-3</v>
      </c>
    </row>
    <row r="103" spans="16:20">
      <c r="P103" s="53">
        <v>45527</v>
      </c>
      <c r="Q103" s="41">
        <v>22527.849609375</v>
      </c>
      <c r="R103" s="41">
        <v>1557.90795898437</v>
      </c>
      <c r="S103" s="41">
        <f t="shared" si="3"/>
        <v>-8.0945264663034584E-4</v>
      </c>
      <c r="T103" s="41">
        <f t="shared" si="3"/>
        <v>-7.094216952058835E-3</v>
      </c>
    </row>
    <row r="104" spans="16:20">
      <c r="P104" s="53">
        <v>45530</v>
      </c>
      <c r="Q104" s="41">
        <v>22554.94921875</v>
      </c>
      <c r="R104" s="41">
        <v>1577.10278320312</v>
      </c>
      <c r="S104" s="41">
        <f t="shared" si="3"/>
        <v>1.2029381341272119E-3</v>
      </c>
      <c r="T104" s="41">
        <f t="shared" si="3"/>
        <v>1.2320897462558362E-2</v>
      </c>
    </row>
    <row r="105" spans="16:20">
      <c r="P105" s="53">
        <v>45531</v>
      </c>
      <c r="Q105" s="41">
        <v>22729</v>
      </c>
      <c r="R105" s="41">
        <v>1581.15954589843</v>
      </c>
      <c r="S105" s="41">
        <f t="shared" si="3"/>
        <v>7.7167445407197392E-3</v>
      </c>
      <c r="T105" s="41">
        <f t="shared" si="3"/>
        <v>2.5722880832602752E-3</v>
      </c>
    </row>
    <row r="106" spans="16:20">
      <c r="P106" s="53">
        <v>45532</v>
      </c>
      <c r="Q106" s="41">
        <v>22989.099609375</v>
      </c>
      <c r="R106" s="41">
        <v>1601.09643554687</v>
      </c>
      <c r="S106" s="41">
        <f t="shared" si="3"/>
        <v>1.1443513105503981E-2</v>
      </c>
      <c r="T106" s="41">
        <f t="shared" si="3"/>
        <v>1.2609030948304251E-2</v>
      </c>
    </row>
    <row r="107" spans="16:20">
      <c r="P107" s="53">
        <v>45533</v>
      </c>
      <c r="Q107" s="41">
        <v>22878.05078125</v>
      </c>
      <c r="R107" s="41">
        <v>1601.44287109375</v>
      </c>
      <c r="S107" s="41">
        <f t="shared" si="3"/>
        <v>-4.8304992371129693E-3</v>
      </c>
      <c r="T107" s="41">
        <f t="shared" si="3"/>
        <v>2.1637394174928246E-4</v>
      </c>
    </row>
    <row r="108" spans="16:20">
      <c r="P108" s="53">
        <v>45534</v>
      </c>
      <c r="Q108" s="41">
        <v>23217.599609375</v>
      </c>
      <c r="R108" s="41">
        <v>1637.40869140625</v>
      </c>
      <c r="S108" s="41">
        <f t="shared" si="3"/>
        <v>1.4841685219235618E-2</v>
      </c>
      <c r="T108" s="41">
        <f t="shared" si="3"/>
        <v>2.2458384848868286E-2</v>
      </c>
    </row>
    <row r="109" spans="16:20">
      <c r="P109" s="53">
        <v>45537</v>
      </c>
      <c r="Q109" s="41">
        <v>22987.44921875</v>
      </c>
      <c r="R109" s="41">
        <v>1629.24584960937</v>
      </c>
      <c r="S109" s="41">
        <f t="shared" si="3"/>
        <v>-9.9127556033858002E-3</v>
      </c>
      <c r="T109" s="41">
        <f t="shared" si="3"/>
        <v>-4.9852195360399225E-3</v>
      </c>
    </row>
    <row r="110" spans="16:20">
      <c r="P110" s="53">
        <v>45538</v>
      </c>
      <c r="Q110" s="41">
        <v>23014.30078125</v>
      </c>
      <c r="R110" s="41">
        <v>1635.7265625</v>
      </c>
      <c r="S110" s="41">
        <f t="shared" si="3"/>
        <v>1.1680966532858369E-3</v>
      </c>
      <c r="T110" s="41">
        <f t="shared" si="3"/>
        <v>3.9777378547159268E-3</v>
      </c>
    </row>
    <row r="111" spans="16:20">
      <c r="P111" s="53">
        <v>45539</v>
      </c>
      <c r="Q111" s="41">
        <v>23184.400390625</v>
      </c>
      <c r="R111" s="41">
        <v>1634.44030761718</v>
      </c>
      <c r="S111" s="41">
        <f t="shared" si="3"/>
        <v>7.3910396406038975E-3</v>
      </c>
      <c r="T111" s="41">
        <f t="shared" si="3"/>
        <v>-7.8635079499725575E-4</v>
      </c>
    </row>
    <row r="112" spans="16:20">
      <c r="P112" s="53">
        <v>45540</v>
      </c>
      <c r="Q112" s="41">
        <v>23156.69921875</v>
      </c>
      <c r="R112" s="41">
        <v>1610.54553222656</v>
      </c>
      <c r="S112" s="41">
        <f t="shared" si="3"/>
        <v>-1.1948194220369585E-3</v>
      </c>
      <c r="T112" s="41">
        <f t="shared" si="3"/>
        <v>-1.4619546079021842E-2</v>
      </c>
    </row>
    <row r="113" spans="16:20">
      <c r="P113" s="53">
        <v>45541</v>
      </c>
      <c r="Q113" s="41">
        <v>23043.400390625</v>
      </c>
      <c r="R113" s="41">
        <v>1594.02209472656</v>
      </c>
      <c r="S113" s="41">
        <f t="shared" si="3"/>
        <v>-4.8927019803090867E-3</v>
      </c>
      <c r="T113" s="41">
        <f t="shared" si="3"/>
        <v>-1.025952832091406E-2</v>
      </c>
    </row>
    <row r="114" spans="16:20">
      <c r="P114" s="53">
        <v>45544</v>
      </c>
      <c r="Q114" s="41">
        <v>23009.400390625</v>
      </c>
      <c r="R114" s="41">
        <v>1603.02587890625</v>
      </c>
      <c r="S114" s="41">
        <f t="shared" si="3"/>
        <v>-1.4754766841543314E-3</v>
      </c>
      <c r="T114" s="41">
        <f t="shared" si="3"/>
        <v>5.6484688697081824E-3</v>
      </c>
    </row>
    <row r="115" spans="16:20">
      <c r="P115" s="53">
        <v>45545</v>
      </c>
      <c r="Q115" s="41">
        <v>23256.849609375</v>
      </c>
      <c r="R115" s="41">
        <v>1614.75061035156</v>
      </c>
      <c r="S115" s="41">
        <f t="shared" si="3"/>
        <v>1.0754266280264359E-2</v>
      </c>
      <c r="T115" s="41">
        <f t="shared" si="3"/>
        <v>7.3141248682209812E-3</v>
      </c>
    </row>
    <row r="116" spans="16:20">
      <c r="P116" s="53">
        <v>45546</v>
      </c>
      <c r="Q116" s="41">
        <v>23220.400390625</v>
      </c>
      <c r="R116" s="41">
        <v>1611.13916015625</v>
      </c>
      <c r="S116" s="41">
        <f t="shared" si="3"/>
        <v>-1.5672466117382924E-3</v>
      </c>
      <c r="T116" s="41">
        <f t="shared" si="3"/>
        <v>-2.23653743937816E-3</v>
      </c>
    </row>
    <row r="117" spans="16:20">
      <c r="P117" s="53">
        <v>45547</v>
      </c>
      <c r="Q117" s="41">
        <v>23429.599609375</v>
      </c>
      <c r="R117" s="41">
        <v>1639.73376464843</v>
      </c>
      <c r="S117" s="41">
        <f t="shared" si="3"/>
        <v>9.0092855950262615E-3</v>
      </c>
      <c r="T117" s="41">
        <f t="shared" si="3"/>
        <v>1.774806621260876E-2</v>
      </c>
    </row>
    <row r="118" spans="16:20">
      <c r="P118" s="53">
        <v>45548</v>
      </c>
      <c r="Q118" s="41">
        <v>23457.650390625</v>
      </c>
      <c r="R118" s="41">
        <v>1642.15783691406</v>
      </c>
      <c r="S118" s="41">
        <f t="shared" si="3"/>
        <v>1.1972369019390286E-3</v>
      </c>
      <c r="T118" s="41">
        <f t="shared" si="3"/>
        <v>1.47833283542206E-3</v>
      </c>
    </row>
    <row r="119" spans="16:20">
      <c r="P119" s="53">
        <v>45551</v>
      </c>
      <c r="Q119" s="41">
        <v>23448.75</v>
      </c>
      <c r="R119" s="41">
        <v>1641.86108398437</v>
      </c>
      <c r="S119" s="41">
        <f t="shared" si="3"/>
        <v>-3.7942379039620686E-4</v>
      </c>
      <c r="T119" s="41">
        <f t="shared" si="3"/>
        <v>-1.807091395353681E-4</v>
      </c>
    </row>
    <row r="120" spans="16:20">
      <c r="P120" s="53">
        <v>45552</v>
      </c>
      <c r="Q120" s="41">
        <v>23383.650390625</v>
      </c>
      <c r="R120" s="41">
        <v>1654.13000488281</v>
      </c>
      <c r="S120" s="41">
        <f t="shared" si="3"/>
        <v>-2.7762507329815024E-3</v>
      </c>
      <c r="T120" s="41">
        <f t="shared" si="3"/>
        <v>7.4725694019536172E-3</v>
      </c>
    </row>
    <row r="121" spans="16:20">
      <c r="P121" s="53">
        <v>45553</v>
      </c>
      <c r="Q121" s="41">
        <v>23025.19921875</v>
      </c>
      <c r="R121" s="41">
        <v>1634.14343261718</v>
      </c>
      <c r="S121" s="41">
        <f t="shared" si="3"/>
        <v>-1.5329136635514815E-2</v>
      </c>
      <c r="T121" s="41">
        <f t="shared" si="3"/>
        <v>-1.2082830374052727E-2</v>
      </c>
    </row>
    <row r="122" spans="16:20">
      <c r="P122" s="53">
        <v>45554</v>
      </c>
      <c r="Q122" s="41">
        <v>22930.150390625</v>
      </c>
      <c r="R122" s="41">
        <v>1620.39038085937</v>
      </c>
      <c r="S122" s="41">
        <f t="shared" si="3"/>
        <v>-4.1280349942683378E-3</v>
      </c>
      <c r="T122" s="41">
        <f t="shared" si="3"/>
        <v>-8.4160615789910503E-3</v>
      </c>
    </row>
    <row r="123" spans="16:20">
      <c r="P123" s="53">
        <v>45555</v>
      </c>
      <c r="Q123" s="41">
        <v>23005.25</v>
      </c>
      <c r="R123" s="41">
        <v>1621.33044433593</v>
      </c>
      <c r="S123" s="41">
        <f t="shared" si="3"/>
        <v>3.2751468305111729E-3</v>
      </c>
      <c r="T123" s="41">
        <f t="shared" si="3"/>
        <v>5.801462954016294E-4</v>
      </c>
    </row>
    <row r="124" spans="16:20">
      <c r="P124" s="53">
        <v>45558</v>
      </c>
      <c r="Q124" s="41">
        <v>23134.25</v>
      </c>
      <c r="R124" s="41">
        <v>1640.62426757812</v>
      </c>
      <c r="S124" s="41">
        <f t="shared" si="3"/>
        <v>5.6074156985905389E-3</v>
      </c>
      <c r="T124" s="41">
        <f t="shared" si="3"/>
        <v>1.1899994420996906E-2</v>
      </c>
    </row>
    <row r="125" spans="16:20">
      <c r="P125" s="53">
        <v>45559</v>
      </c>
      <c r="Q125" s="41">
        <v>23188.400390625</v>
      </c>
      <c r="R125" s="41">
        <v>1620.24206542968</v>
      </c>
      <c r="S125" s="41">
        <f t="shared" si="3"/>
        <v>2.3407022326204655E-3</v>
      </c>
      <c r="T125" s="41">
        <f t="shared" si="3"/>
        <v>-1.2423443046181494E-2</v>
      </c>
    </row>
    <row r="126" spans="16:20">
      <c r="P126" s="53">
        <v>45560</v>
      </c>
      <c r="Q126" s="41">
        <v>23249</v>
      </c>
      <c r="R126" s="41">
        <v>1625.83227539062</v>
      </c>
      <c r="S126" s="41">
        <f t="shared" si="3"/>
        <v>2.6133587636127001E-3</v>
      </c>
      <c r="T126" s="41">
        <f t="shared" si="3"/>
        <v>3.4502313451894645E-3</v>
      </c>
    </row>
    <row r="127" spans="16:20">
      <c r="P127" s="53">
        <v>45561</v>
      </c>
      <c r="Q127" s="41">
        <v>23250.900390625</v>
      </c>
      <c r="R127" s="41">
        <v>1604.65856933593</v>
      </c>
      <c r="S127" s="41">
        <f t="shared" si="3"/>
        <v>8.1740746913845755E-5</v>
      </c>
      <c r="T127" s="41">
        <f t="shared" si="3"/>
        <v>-1.3023302818615062E-2</v>
      </c>
    </row>
    <row r="128" spans="16:20">
      <c r="P128" s="53">
        <v>45562</v>
      </c>
      <c r="Q128" s="41">
        <v>23519.099609375</v>
      </c>
      <c r="R128" s="41">
        <v>1654.82263183593</v>
      </c>
      <c r="S128" s="41">
        <f t="shared" si="3"/>
        <v>1.1535003558749951E-2</v>
      </c>
      <c r="T128" s="41">
        <f t="shared" si="3"/>
        <v>3.1261517844733681E-2</v>
      </c>
    </row>
    <row r="129" spans="16:20">
      <c r="P129" s="53">
        <v>45565</v>
      </c>
      <c r="Q129" s="41">
        <v>23281.19921875</v>
      </c>
      <c r="R129" s="41">
        <v>1636.61706542968</v>
      </c>
      <c r="S129" s="41">
        <f t="shared" si="3"/>
        <v>-1.0115199755783594E-2</v>
      </c>
      <c r="T129" s="41">
        <f t="shared" si="3"/>
        <v>-1.1001521284520975E-2</v>
      </c>
    </row>
    <row r="130" spans="16:20">
      <c r="P130" s="53">
        <v>45566</v>
      </c>
      <c r="Q130" s="41">
        <v>23296.55078125</v>
      </c>
      <c r="R130" s="41">
        <v>1647.25341796875</v>
      </c>
      <c r="S130" s="41">
        <f t="shared" si="3"/>
        <v>6.5939741143730679E-4</v>
      </c>
      <c r="T130" s="41">
        <f t="shared" si="3"/>
        <v>6.4989866986859988E-3</v>
      </c>
    </row>
    <row r="131" spans="16:20">
      <c r="P131" s="53">
        <v>45568</v>
      </c>
      <c r="Q131" s="41">
        <v>23178.75</v>
      </c>
      <c r="R131" s="41">
        <v>1639.04125976562</v>
      </c>
      <c r="S131" s="41">
        <f t="shared" si="3"/>
        <v>-5.0565760724034219E-3</v>
      </c>
      <c r="T131" s="41">
        <f t="shared" si="3"/>
        <v>-4.9853641908095252E-3</v>
      </c>
    </row>
    <row r="132" spans="16:20">
      <c r="P132" s="53">
        <v>45569</v>
      </c>
      <c r="Q132" s="41">
        <v>23094.69921875</v>
      </c>
      <c r="R132" s="41">
        <v>1606.14270019531</v>
      </c>
      <c r="S132" s="41">
        <f t="shared" si="3"/>
        <v>-3.6261999137140702E-3</v>
      </c>
      <c r="T132" s="41">
        <f t="shared" si="3"/>
        <v>-2.0071831245428461E-2</v>
      </c>
    </row>
    <row r="133" spans="16:20">
      <c r="P133" s="53">
        <v>45572</v>
      </c>
      <c r="Q133" s="41">
        <v>22977.80078125</v>
      </c>
      <c r="R133" s="41">
        <v>1607.47839355468</v>
      </c>
      <c r="S133" s="41">
        <f t="shared" si="3"/>
        <v>-5.0616999335108522E-3</v>
      </c>
      <c r="T133" s="41">
        <f t="shared" si="3"/>
        <v>8.3161562120699173E-4</v>
      </c>
    </row>
    <row r="134" spans="16:20">
      <c r="P134" s="53">
        <v>45573</v>
      </c>
      <c r="Q134" s="41">
        <v>23307.94921875</v>
      </c>
      <c r="R134" s="41">
        <v>1623.35864257812</v>
      </c>
      <c r="S134" s="41">
        <f t="shared" si="3"/>
        <v>1.4368147789382993E-2</v>
      </c>
      <c r="T134" s="41">
        <f t="shared" si="3"/>
        <v>9.8789813207525515E-3</v>
      </c>
    </row>
    <row r="135" spans="16:20">
      <c r="P135" s="53">
        <v>45574</v>
      </c>
      <c r="Q135" s="41">
        <v>23783.80078125</v>
      </c>
      <c r="R135" s="41">
        <v>1662.73803710937</v>
      </c>
      <c r="S135" s="41">
        <f t="shared" si="3"/>
        <v>2.0415848603153933E-2</v>
      </c>
      <c r="T135" s="41">
        <f t="shared" si="3"/>
        <v>2.4257975716758452E-2</v>
      </c>
    </row>
    <row r="136" spans="16:20">
      <c r="P136" s="53">
        <v>45575</v>
      </c>
      <c r="Q136" s="41">
        <v>23305.150390625</v>
      </c>
      <c r="R136" s="41">
        <v>1601.78918457031</v>
      </c>
      <c r="S136" s="41">
        <f t="shared" ref="S136:T199" si="4">(Q136-Q135)/Q135</f>
        <v>-2.0125058859488298E-2</v>
      </c>
      <c r="T136" s="41">
        <f t="shared" si="4"/>
        <v>-3.6655715559991704E-2</v>
      </c>
    </row>
    <row r="137" spans="16:20">
      <c r="P137" s="53">
        <v>45576</v>
      </c>
      <c r="Q137" s="41">
        <v>23582.25</v>
      </c>
      <c r="R137" s="41">
        <v>1578.8837890625</v>
      </c>
      <c r="S137" s="41">
        <f t="shared" si="4"/>
        <v>1.1890058838087109E-2</v>
      </c>
      <c r="T137" s="41">
        <f t="shared" si="4"/>
        <v>-1.4299881487809219E-2</v>
      </c>
    </row>
    <row r="138" spans="16:20">
      <c r="P138" s="53">
        <v>45579</v>
      </c>
      <c r="Q138" s="41">
        <v>23680</v>
      </c>
      <c r="R138" s="41">
        <v>1581.55517578125</v>
      </c>
      <c r="S138" s="41">
        <f t="shared" si="4"/>
        <v>4.1450667345143064E-3</v>
      </c>
      <c r="T138" s="41">
        <f t="shared" si="4"/>
        <v>1.6919463846900345E-3</v>
      </c>
    </row>
    <row r="139" spans="16:20">
      <c r="P139" s="53">
        <v>45580</v>
      </c>
      <c r="Q139" s="41">
        <v>23555.69921875</v>
      </c>
      <c r="R139" s="41">
        <v>1555.13745117187</v>
      </c>
      <c r="S139" s="41">
        <f t="shared" si="4"/>
        <v>-5.249188397381757E-3</v>
      </c>
      <c r="T139" s="41">
        <f t="shared" si="4"/>
        <v>-1.6703637668746073E-2</v>
      </c>
    </row>
    <row r="140" spans="16:20">
      <c r="P140" s="53">
        <v>45581</v>
      </c>
      <c r="Q140" s="41">
        <v>23467.349609375</v>
      </c>
      <c r="R140" s="41">
        <v>1545.68835449218</v>
      </c>
      <c r="S140" s="41">
        <f t="shared" si="4"/>
        <v>-3.7506680890489114E-3</v>
      </c>
      <c r="T140" s="41">
        <f t="shared" si="4"/>
        <v>-6.0760524238996734E-3</v>
      </c>
    </row>
    <row r="141" spans="16:20">
      <c r="P141" s="53">
        <v>45582</v>
      </c>
      <c r="Q141" s="41">
        <v>23254</v>
      </c>
      <c r="R141" s="41">
        <v>1542.22534179687</v>
      </c>
      <c r="S141" s="41">
        <f t="shared" si="4"/>
        <v>-9.0913380899975468E-3</v>
      </c>
      <c r="T141" s="41">
        <f t="shared" si="4"/>
        <v>-2.240433969270433E-3</v>
      </c>
    </row>
    <row r="142" spans="16:20">
      <c r="P142" s="53">
        <v>45583</v>
      </c>
      <c r="Q142" s="41">
        <v>23356.19921875</v>
      </c>
      <c r="R142" s="41">
        <v>1535.29931640625</v>
      </c>
      <c r="S142" s="41">
        <f t="shared" si="4"/>
        <v>4.3949092091683153E-3</v>
      </c>
      <c r="T142" s="41">
        <f t="shared" si="4"/>
        <v>-4.4909295697024279E-3</v>
      </c>
    </row>
    <row r="143" spans="16:20">
      <c r="P143" s="53">
        <v>45586</v>
      </c>
      <c r="Q143" s="41">
        <v>23122.69921875</v>
      </c>
      <c r="R143" s="41">
        <v>1507.64477539062</v>
      </c>
      <c r="S143" s="41">
        <f t="shared" si="4"/>
        <v>-9.9973457929982794E-3</v>
      </c>
      <c r="T143" s="41">
        <f t="shared" si="4"/>
        <v>-1.801247530049211E-2</v>
      </c>
    </row>
    <row r="144" spans="16:20">
      <c r="P144" s="53">
        <v>45587</v>
      </c>
      <c r="Q144" s="41">
        <v>22828.19921875</v>
      </c>
      <c r="R144" s="41">
        <v>1494.38635253906</v>
      </c>
      <c r="S144" s="41">
        <f t="shared" si="4"/>
        <v>-1.2736402321109314E-2</v>
      </c>
      <c r="T144" s="41">
        <f t="shared" si="4"/>
        <v>-8.794129139687322E-3</v>
      </c>
    </row>
    <row r="145" spans="16:20">
      <c r="P145" s="53">
        <v>45588</v>
      </c>
      <c r="Q145" s="41">
        <v>22471.599609375</v>
      </c>
      <c r="R145" s="41">
        <v>1469.89794921875</v>
      </c>
      <c r="S145" s="41">
        <f t="shared" si="4"/>
        <v>-1.562101355248845E-2</v>
      </c>
      <c r="T145" s="41">
        <f t="shared" si="4"/>
        <v>-1.6386929175780149E-2</v>
      </c>
    </row>
    <row r="146" spans="16:20">
      <c r="P146" s="53">
        <v>45589</v>
      </c>
      <c r="Q146" s="41">
        <v>22570.80078125</v>
      </c>
      <c r="R146" s="41">
        <v>1476.52722167968</v>
      </c>
      <c r="S146" s="41">
        <f t="shared" si="4"/>
        <v>4.4145131454555618E-3</v>
      </c>
      <c r="T146" s="41">
        <f t="shared" si="4"/>
        <v>4.5100222532138724E-3</v>
      </c>
    </row>
    <row r="147" spans="16:20">
      <c r="P147" s="53">
        <v>45590</v>
      </c>
      <c r="Q147" s="41">
        <v>22574.55078125</v>
      </c>
      <c r="R147" s="41">
        <v>1473.16320800781</v>
      </c>
      <c r="S147" s="41">
        <f t="shared" si="4"/>
        <v>1.6614386154678205E-4</v>
      </c>
      <c r="T147" s="41">
        <f t="shared" si="4"/>
        <v>-2.2783282437848556E-3</v>
      </c>
    </row>
    <row r="148" spans="16:20">
      <c r="P148" s="53">
        <v>45593</v>
      </c>
      <c r="Q148" s="41">
        <v>22857.25</v>
      </c>
      <c r="R148" s="41">
        <v>1487.26257324218</v>
      </c>
      <c r="S148" s="41">
        <f t="shared" si="4"/>
        <v>1.2522916690098865E-2</v>
      </c>
      <c r="T148" s="41">
        <f t="shared" si="4"/>
        <v>9.5708100485599763E-3</v>
      </c>
    </row>
    <row r="149" spans="16:20">
      <c r="P149" s="53">
        <v>45594</v>
      </c>
      <c r="Q149" s="41">
        <v>22601.400390625</v>
      </c>
      <c r="R149" s="41">
        <v>1461.93310546875</v>
      </c>
      <c r="S149" s="41">
        <f t="shared" si="4"/>
        <v>-1.1193367941244025E-2</v>
      </c>
      <c r="T149" s="41">
        <f t="shared" si="4"/>
        <v>-1.7030932015059487E-2</v>
      </c>
    </row>
    <row r="150" spans="16:20">
      <c r="P150" s="53">
        <v>45595</v>
      </c>
      <c r="Q150" s="41">
        <v>22374.94921875</v>
      </c>
      <c r="R150" s="41">
        <v>1403.25988769531</v>
      </c>
      <c r="S150" s="41">
        <f t="shared" si="4"/>
        <v>-1.0019342516888083E-2</v>
      </c>
      <c r="T150" s="41">
        <f t="shared" si="4"/>
        <v>-4.013399625055155E-2</v>
      </c>
    </row>
    <row r="151" spans="16:20">
      <c r="P151" s="53">
        <v>45596</v>
      </c>
      <c r="Q151" s="41">
        <v>22735.55078125</v>
      </c>
      <c r="R151" s="41">
        <v>1535.34887695312</v>
      </c>
      <c r="S151" s="41">
        <f t="shared" si="4"/>
        <v>1.6116307526535936E-2</v>
      </c>
      <c r="T151" s="41">
        <f t="shared" si="4"/>
        <v>9.4130096937888458E-2</v>
      </c>
    </row>
    <row r="152" spans="16:20">
      <c r="P152" s="53">
        <v>45597</v>
      </c>
      <c r="Q152" s="41">
        <v>22807.150390625</v>
      </c>
      <c r="R152" s="41">
        <v>1543.06640625</v>
      </c>
      <c r="S152" s="41">
        <f t="shared" si="4"/>
        <v>3.1492357525839299E-3</v>
      </c>
      <c r="T152" s="41">
        <f t="shared" si="4"/>
        <v>5.0265639378297778E-3</v>
      </c>
    </row>
    <row r="153" spans="16:20">
      <c r="P153" s="53">
        <v>45600</v>
      </c>
      <c r="Q153" s="41">
        <v>22638.30078125</v>
      </c>
      <c r="R153" s="41">
        <v>1567.8515625</v>
      </c>
      <c r="S153" s="41">
        <f t="shared" si="4"/>
        <v>-7.4033628262655084E-3</v>
      </c>
      <c r="T153" s="41">
        <f t="shared" si="4"/>
        <v>1.6062274539586103E-2</v>
      </c>
    </row>
    <row r="154" spans="16:20">
      <c r="P154" s="53">
        <v>45601</v>
      </c>
      <c r="Q154" s="41">
        <v>22661.25</v>
      </c>
      <c r="R154" s="41">
        <v>1584.27612304687</v>
      </c>
      <c r="S154" s="41">
        <f t="shared" si="4"/>
        <v>1.0137341566292606E-3</v>
      </c>
      <c r="T154" s="41">
        <f t="shared" si="4"/>
        <v>1.0475839001416945E-2</v>
      </c>
    </row>
    <row r="155" spans="16:20">
      <c r="P155" s="53">
        <v>45602</v>
      </c>
      <c r="Q155" s="41">
        <v>22920.349609375</v>
      </c>
      <c r="R155" s="41">
        <v>1577.20178222656</v>
      </c>
      <c r="S155" s="41">
        <f t="shared" si="4"/>
        <v>1.1433597412984721E-2</v>
      </c>
      <c r="T155" s="41">
        <f t="shared" si="4"/>
        <v>-4.4653458556862362E-3</v>
      </c>
    </row>
    <row r="156" spans="16:20">
      <c r="P156" s="53">
        <v>45603</v>
      </c>
      <c r="Q156" s="41">
        <v>22526.94921875</v>
      </c>
      <c r="R156" s="41">
        <v>1559.49096679687</v>
      </c>
      <c r="S156" s="41">
        <f t="shared" si="4"/>
        <v>-1.716380410114204E-2</v>
      </c>
      <c r="T156" s="41">
        <f t="shared" si="4"/>
        <v>-1.1229264149503667E-2</v>
      </c>
    </row>
    <row r="157" spans="16:20">
      <c r="P157" s="53">
        <v>45604</v>
      </c>
      <c r="Q157" s="41">
        <v>22542.25</v>
      </c>
      <c r="R157" s="41">
        <v>1575.76708984375</v>
      </c>
      <c r="S157" s="41">
        <f t="shared" si="4"/>
        <v>6.7922118975900217E-4</v>
      </c>
      <c r="T157" s="41">
        <f t="shared" si="4"/>
        <v>1.0436817777989753E-2</v>
      </c>
    </row>
    <row r="158" spans="16:20">
      <c r="P158" s="53">
        <v>45607</v>
      </c>
      <c r="Q158" s="41">
        <v>22344.25</v>
      </c>
      <c r="R158" s="41">
        <v>1536.38781738281</v>
      </c>
      <c r="S158" s="41">
        <f t="shared" si="4"/>
        <v>-8.783506526633322E-3</v>
      </c>
      <c r="T158" s="41">
        <f t="shared" si="4"/>
        <v>-2.4990541251146942E-2</v>
      </c>
    </row>
    <row r="159" spans="16:20">
      <c r="P159" s="53">
        <v>45608</v>
      </c>
      <c r="Q159" s="41">
        <v>22151.599609375</v>
      </c>
      <c r="R159" s="41">
        <v>1509.03002929687</v>
      </c>
      <c r="S159" s="41">
        <f t="shared" si="4"/>
        <v>-8.6219224464907079E-3</v>
      </c>
      <c r="T159" s="41">
        <f t="shared" si="4"/>
        <v>-1.7806564056556479E-2</v>
      </c>
    </row>
    <row r="160" spans="16:20">
      <c r="P160" s="53">
        <v>45609</v>
      </c>
      <c r="Q160" s="41">
        <v>21809.30078125</v>
      </c>
      <c r="R160" s="41">
        <v>1489.68664550781</v>
      </c>
      <c r="S160" s="41">
        <f t="shared" si="4"/>
        <v>-1.5452555759455507E-2</v>
      </c>
      <c r="T160" s="41">
        <f t="shared" si="4"/>
        <v>-1.2818422041656133E-2</v>
      </c>
    </row>
    <row r="161" spans="16:20">
      <c r="P161" s="53">
        <v>45610</v>
      </c>
      <c r="Q161" s="41">
        <v>21752</v>
      </c>
      <c r="R161" s="41">
        <v>1483.8984375</v>
      </c>
      <c r="S161" s="41">
        <f t="shared" si="4"/>
        <v>-2.627355265752624E-3</v>
      </c>
      <c r="T161" s="41">
        <f t="shared" si="4"/>
        <v>-3.8855205054462261E-3</v>
      </c>
    </row>
    <row r="162" spans="16:20">
      <c r="P162" s="53">
        <v>45614</v>
      </c>
      <c r="Q162" s="41">
        <v>21544.150390625</v>
      </c>
      <c r="R162" s="41">
        <v>1449.76306152343</v>
      </c>
      <c r="S162" s="41">
        <f t="shared" si="4"/>
        <v>-9.5554252195200438E-3</v>
      </c>
      <c r="T162" s="41">
        <f t="shared" si="4"/>
        <v>-2.3003849262136583E-2</v>
      </c>
    </row>
    <row r="163" spans="16:20">
      <c r="P163" s="53">
        <v>45615</v>
      </c>
      <c r="Q163" s="41">
        <v>21768.849609375</v>
      </c>
      <c r="R163" s="41">
        <v>1455.99658203125</v>
      </c>
      <c r="S163" s="41">
        <f t="shared" si="4"/>
        <v>1.0429708977884712E-2</v>
      </c>
      <c r="T163" s="41">
        <f t="shared" si="4"/>
        <v>4.299682253781344E-3</v>
      </c>
    </row>
    <row r="164" spans="16:20">
      <c r="P164" s="53">
        <v>45617</v>
      </c>
      <c r="Q164" s="41">
        <v>21740.099609375</v>
      </c>
      <c r="R164" s="41">
        <v>1450.01049804687</v>
      </c>
      <c r="S164" s="41">
        <f t="shared" si="4"/>
        <v>-1.3206945022771661E-3</v>
      </c>
      <c r="T164" s="41">
        <f t="shared" si="4"/>
        <v>-4.1113310692178009E-3</v>
      </c>
    </row>
    <row r="165" spans="16:20">
      <c r="P165" s="53">
        <v>45618</v>
      </c>
      <c r="Q165" s="41">
        <v>21962.05078125</v>
      </c>
      <c r="R165" s="41">
        <v>1470.78845214843</v>
      </c>
      <c r="S165" s="41">
        <f t="shared" si="4"/>
        <v>1.0209298754973865E-2</v>
      </c>
      <c r="T165" s="41">
        <f t="shared" si="4"/>
        <v>1.4329519772130902E-2</v>
      </c>
    </row>
    <row r="166" spans="16:20">
      <c r="P166" s="53">
        <v>45621</v>
      </c>
      <c r="Q166" s="41">
        <v>22177.05078125</v>
      </c>
      <c r="R166" s="41">
        <v>1487.41101074218</v>
      </c>
      <c r="S166" s="41">
        <f t="shared" si="4"/>
        <v>9.7896140092506873E-3</v>
      </c>
      <c r="T166" s="41">
        <f t="shared" si="4"/>
        <v>1.1301801132221885E-2</v>
      </c>
    </row>
    <row r="167" spans="16:20">
      <c r="P167" s="53">
        <v>45622</v>
      </c>
      <c r="Q167" s="41">
        <v>21961.75</v>
      </c>
      <c r="R167" s="41">
        <v>1476.92297363281</v>
      </c>
      <c r="S167" s="41">
        <f t="shared" si="4"/>
        <v>-9.7082692993619348E-3</v>
      </c>
      <c r="T167" s="41">
        <f t="shared" si="4"/>
        <v>-7.0512030861844543E-3</v>
      </c>
    </row>
    <row r="168" spans="16:20">
      <c r="P168" s="53">
        <v>45623</v>
      </c>
      <c r="Q168" s="41">
        <v>21828.599609375</v>
      </c>
      <c r="R168" s="41">
        <v>1475.38940429687</v>
      </c>
      <c r="S168" s="41">
        <f t="shared" si="4"/>
        <v>-6.0628315423406605E-3</v>
      </c>
      <c r="T168" s="41">
        <f t="shared" si="4"/>
        <v>-1.0383543104945123E-3</v>
      </c>
    </row>
    <row r="169" spans="16:20">
      <c r="P169" s="53">
        <v>45624</v>
      </c>
      <c r="Q169" s="41">
        <v>21728.599609375</v>
      </c>
      <c r="R169" s="41">
        <v>1476.97241210937</v>
      </c>
      <c r="S169" s="41">
        <f t="shared" si="4"/>
        <v>-4.5811459181766181E-3</v>
      </c>
      <c r="T169" s="41">
        <f t="shared" si="4"/>
        <v>1.0729423756804177E-3</v>
      </c>
    </row>
    <row r="170" spans="16:20">
      <c r="P170" s="53">
        <v>45625</v>
      </c>
      <c r="Q170" s="41">
        <v>22240.19921875</v>
      </c>
      <c r="R170" s="41">
        <v>1517.6875</v>
      </c>
      <c r="S170" s="41">
        <f t="shared" si="4"/>
        <v>2.3544987646339884E-2</v>
      </c>
      <c r="T170" s="41">
        <f t="shared" si="4"/>
        <v>2.7566586590796149E-2</v>
      </c>
    </row>
    <row r="171" spans="16:20">
      <c r="P171" s="53">
        <v>45628</v>
      </c>
      <c r="Q171" s="41">
        <v>22450.19921875</v>
      </c>
      <c r="R171" s="41">
        <v>1491.76440429687</v>
      </c>
      <c r="S171" s="41">
        <f t="shared" si="4"/>
        <v>9.4423614615356376E-3</v>
      </c>
      <c r="T171" s="41">
        <f t="shared" si="4"/>
        <v>-1.7080654418732449E-2</v>
      </c>
    </row>
    <row r="172" spans="16:20">
      <c r="P172" s="53">
        <v>45629</v>
      </c>
      <c r="Q172" s="41">
        <v>22445.69921875</v>
      </c>
      <c r="R172" s="41">
        <v>1517.6875</v>
      </c>
      <c r="S172" s="41">
        <f t="shared" si="4"/>
        <v>-2.0044365558420887E-4</v>
      </c>
      <c r="T172" s="41">
        <f t="shared" si="4"/>
        <v>1.7377473030232696E-2</v>
      </c>
    </row>
    <row r="173" spans="16:20">
      <c r="P173" s="53">
        <v>45630</v>
      </c>
      <c r="Q173" s="41">
        <v>22422.900390625</v>
      </c>
      <c r="R173" s="41">
        <v>1484.98681640625</v>
      </c>
      <c r="S173" s="41">
        <f t="shared" si="4"/>
        <v>-1.0157325865774328E-3</v>
      </c>
      <c r="T173" s="41">
        <f t="shared" si="4"/>
        <v>-2.1546387905118806E-2</v>
      </c>
    </row>
    <row r="174" spans="16:20">
      <c r="P174" s="53">
        <v>45631</v>
      </c>
      <c r="Q174" s="41">
        <v>22463.400390625</v>
      </c>
      <c r="R174" s="41">
        <v>1482.41430664062</v>
      </c>
      <c r="S174" s="41">
        <f t="shared" si="4"/>
        <v>1.8061891768886877E-3</v>
      </c>
      <c r="T174" s="41">
        <f t="shared" si="4"/>
        <v>-1.7323451879900306E-3</v>
      </c>
    </row>
    <row r="175" spans="16:20">
      <c r="P175" s="53">
        <v>45632</v>
      </c>
      <c r="Q175" s="41">
        <v>22434.75</v>
      </c>
      <c r="R175" s="41">
        <v>1461.78466796875</v>
      </c>
      <c r="S175" s="41">
        <f t="shared" si="4"/>
        <v>-1.2754253642274531E-3</v>
      </c>
      <c r="T175" s="41">
        <f t="shared" si="4"/>
        <v>-1.391624364353306E-2</v>
      </c>
    </row>
    <row r="176" spans="16:20">
      <c r="P176" s="53">
        <v>45635</v>
      </c>
      <c r="Q176" s="41">
        <v>22309.099609375</v>
      </c>
      <c r="R176" s="41">
        <v>1453.47351074218</v>
      </c>
      <c r="S176" s="41">
        <f t="shared" si="4"/>
        <v>-5.6007038467110176E-3</v>
      </c>
      <c r="T176" s="41">
        <f t="shared" si="4"/>
        <v>-5.6856234770329929E-3</v>
      </c>
    </row>
    <row r="177" spans="16:20">
      <c r="P177" s="53">
        <v>45636</v>
      </c>
      <c r="Q177" s="41">
        <v>22291.44921875</v>
      </c>
      <c r="R177" s="41">
        <v>1439.8193359375</v>
      </c>
      <c r="S177" s="41">
        <f t="shared" si="4"/>
        <v>-7.9117449534282141E-4</v>
      </c>
      <c r="T177" s="41">
        <f t="shared" si="4"/>
        <v>-9.3941683173213338E-3</v>
      </c>
    </row>
    <row r="178" spans="16:20">
      <c r="P178" s="53">
        <v>45637</v>
      </c>
      <c r="Q178" s="41">
        <v>22302.599609375</v>
      </c>
      <c r="R178" s="41">
        <v>1438.73095703125</v>
      </c>
      <c r="S178" s="41">
        <f t="shared" si="4"/>
        <v>5.0020931863061977E-4</v>
      </c>
      <c r="T178" s="41">
        <f t="shared" si="4"/>
        <v>-7.5591352267910126E-4</v>
      </c>
    </row>
    <row r="179" spans="16:20">
      <c r="P179" s="53">
        <v>45638</v>
      </c>
      <c r="Q179" s="41">
        <v>22229.30078125</v>
      </c>
      <c r="R179" s="41">
        <v>1430.12292480468</v>
      </c>
      <c r="S179" s="41">
        <f t="shared" si="4"/>
        <v>-3.2865598364680546E-3</v>
      </c>
      <c r="T179" s="41">
        <f t="shared" si="4"/>
        <v>-5.9830729188814083E-3</v>
      </c>
    </row>
    <row r="180" spans="16:20">
      <c r="P180" s="53">
        <v>45639</v>
      </c>
      <c r="Q180" s="41">
        <v>22157.349609375</v>
      </c>
      <c r="R180" s="41">
        <v>1432.0029296875</v>
      </c>
      <c r="S180" s="41">
        <f t="shared" si="4"/>
        <v>-3.2367717087929942E-3</v>
      </c>
      <c r="T180" s="41">
        <f t="shared" si="4"/>
        <v>1.3145757264724403E-3</v>
      </c>
    </row>
    <row r="181" spans="16:20">
      <c r="P181" s="53">
        <v>45642</v>
      </c>
      <c r="Q181" s="41">
        <v>22255.55078125</v>
      </c>
      <c r="R181" s="41">
        <v>1433.140625</v>
      </c>
      <c r="S181" s="41">
        <f t="shared" si="4"/>
        <v>4.4319909017209386E-3</v>
      </c>
      <c r="T181" s="41">
        <f t="shared" si="4"/>
        <v>7.9447834142928355E-4</v>
      </c>
    </row>
    <row r="182" spans="16:20">
      <c r="P182" s="53">
        <v>45643</v>
      </c>
      <c r="Q182" s="41">
        <v>22074.55078125</v>
      </c>
      <c r="R182" s="41">
        <v>1435.51525878906</v>
      </c>
      <c r="S182" s="41">
        <f t="shared" si="4"/>
        <v>-8.1328025434665961E-3</v>
      </c>
      <c r="T182" s="41">
        <f t="shared" si="4"/>
        <v>1.6569440204515862E-3</v>
      </c>
    </row>
    <row r="183" spans="16:20">
      <c r="P183" s="53">
        <v>45644</v>
      </c>
      <c r="Q183" s="41">
        <v>22314.55078125</v>
      </c>
      <c r="R183" s="41">
        <v>1456.83752441406</v>
      </c>
      <c r="S183" s="41">
        <f t="shared" si="4"/>
        <v>1.0872248426629576E-2</v>
      </c>
      <c r="T183" s="41">
        <f t="shared" si="4"/>
        <v>1.4853388352685685E-2</v>
      </c>
    </row>
    <row r="184" spans="16:20">
      <c r="P184" s="53">
        <v>45645</v>
      </c>
      <c r="Q184" s="41">
        <v>22697.900390625</v>
      </c>
      <c r="R184" s="41">
        <v>1490.62658691406</v>
      </c>
      <c r="S184" s="41">
        <f t="shared" si="4"/>
        <v>1.7179355889033309E-2</v>
      </c>
      <c r="T184" s="41">
        <f t="shared" si="4"/>
        <v>2.3193432303708652E-2</v>
      </c>
    </row>
    <row r="185" spans="16:20">
      <c r="P185" s="53">
        <v>45646</v>
      </c>
      <c r="Q185" s="41">
        <v>22501.849609375</v>
      </c>
      <c r="R185" s="41">
        <v>1456.49133300781</v>
      </c>
      <c r="S185" s="41">
        <f t="shared" si="4"/>
        <v>-8.6373971986843153E-3</v>
      </c>
      <c r="T185" s="41">
        <f t="shared" si="4"/>
        <v>-2.2899936312633352E-2</v>
      </c>
    </row>
    <row r="186" spans="16:20">
      <c r="P186" s="53">
        <v>45649</v>
      </c>
      <c r="Q186" s="41">
        <v>22572.05078125</v>
      </c>
      <c r="R186" s="41">
        <v>1460.44897460937</v>
      </c>
      <c r="S186" s="41">
        <f t="shared" si="4"/>
        <v>3.1197956209676166E-3</v>
      </c>
      <c r="T186" s="41">
        <f t="shared" si="4"/>
        <v>2.7172434959753908E-3</v>
      </c>
    </row>
    <row r="187" spans="16:20">
      <c r="P187" s="53">
        <v>45650</v>
      </c>
      <c r="Q187" s="41">
        <v>22558.900390625</v>
      </c>
      <c r="R187" s="41">
        <v>1460.15209960937</v>
      </c>
      <c r="S187" s="41">
        <f t="shared" si="4"/>
        <v>-5.8259618288311133E-4</v>
      </c>
      <c r="T187" s="41">
        <f t="shared" si="4"/>
        <v>-2.0327653013649854E-4</v>
      </c>
    </row>
    <row r="188" spans="16:20">
      <c r="P188" s="53">
        <v>45652</v>
      </c>
      <c r="Q188" s="41">
        <v>22712.55078125</v>
      </c>
      <c r="R188" s="41">
        <v>1474.79577636718</v>
      </c>
      <c r="S188" s="41">
        <f t="shared" si="4"/>
        <v>6.8110762477081484E-3</v>
      </c>
      <c r="T188" s="41">
        <f t="shared" si="4"/>
        <v>1.0028870801697698E-2</v>
      </c>
    </row>
    <row r="189" spans="16:20">
      <c r="P189" s="53">
        <v>45653</v>
      </c>
      <c r="Q189" s="41">
        <v>23008.349609375</v>
      </c>
      <c r="R189" s="41">
        <v>1490.67602539062</v>
      </c>
      <c r="S189" s="41">
        <f t="shared" si="4"/>
        <v>1.3023584667962183E-2</v>
      </c>
      <c r="T189" s="41">
        <f t="shared" si="4"/>
        <v>1.0767761393077311E-2</v>
      </c>
    </row>
    <row r="190" spans="16:20">
      <c r="P190" s="53">
        <v>45656</v>
      </c>
      <c r="Q190" s="41">
        <v>23241.150390625</v>
      </c>
      <c r="R190" s="41">
        <v>1505.31970214843</v>
      </c>
      <c r="S190" s="41">
        <f t="shared" si="4"/>
        <v>1.0118099959466142E-2</v>
      </c>
      <c r="T190" s="41">
        <f t="shared" si="4"/>
        <v>9.823513968417609E-3</v>
      </c>
    </row>
    <row r="191" spans="16:20">
      <c r="P191" s="53">
        <v>45657</v>
      </c>
      <c r="Q191" s="41">
        <v>23412.25</v>
      </c>
      <c r="R191" s="41">
        <v>1512.83935546875</v>
      </c>
      <c r="S191" s="41">
        <f t="shared" si="4"/>
        <v>7.3619251413655513E-3</v>
      </c>
      <c r="T191" s="41">
        <f t="shared" si="4"/>
        <v>4.9953862356200912E-3</v>
      </c>
    </row>
    <row r="192" spans="16:20">
      <c r="P192" s="53">
        <v>45658</v>
      </c>
      <c r="Q192" s="41">
        <v>23459.75</v>
      </c>
      <c r="R192" s="41">
        <v>1512.93823242187</v>
      </c>
      <c r="S192" s="41">
        <f t="shared" si="4"/>
        <v>2.0288524170039191E-3</v>
      </c>
      <c r="T192" s="41">
        <f t="shared" si="4"/>
        <v>6.5358527832164282E-5</v>
      </c>
    </row>
    <row r="193" spans="16:20">
      <c r="P193" s="53">
        <v>45659</v>
      </c>
      <c r="Q193" s="41">
        <v>23553.400390625</v>
      </c>
      <c r="R193" s="41">
        <v>1521.64526367187</v>
      </c>
      <c r="S193" s="41">
        <f t="shared" si="4"/>
        <v>3.9919602990227945E-3</v>
      </c>
      <c r="T193" s="41">
        <f t="shared" si="4"/>
        <v>5.755047406041173E-3</v>
      </c>
    </row>
    <row r="194" spans="16:20">
      <c r="P194" s="53">
        <v>45660</v>
      </c>
      <c r="Q194" s="41">
        <v>23263.5</v>
      </c>
      <c r="R194" s="41">
        <v>1495.27685546875</v>
      </c>
      <c r="S194" s="41">
        <f t="shared" si="4"/>
        <v>-1.2308218168803751E-2</v>
      </c>
      <c r="T194" s="41">
        <f t="shared" si="4"/>
        <v>-1.7328880017337681E-2</v>
      </c>
    </row>
    <row r="195" spans="16:20">
      <c r="P195" s="53">
        <v>45663</v>
      </c>
      <c r="Q195" s="41">
        <v>23073.05078125</v>
      </c>
      <c r="R195" s="41">
        <v>1475.63671875</v>
      </c>
      <c r="S195" s="41">
        <f t="shared" si="4"/>
        <v>-8.1866107314032717E-3</v>
      </c>
      <c r="T195" s="41">
        <f t="shared" si="4"/>
        <v>-1.3134782797526195E-2</v>
      </c>
    </row>
    <row r="196" spans="16:20">
      <c r="P196" s="53">
        <v>45664</v>
      </c>
      <c r="Q196" s="41">
        <v>23228.55078125</v>
      </c>
      <c r="R196" s="41">
        <v>1481.62268066406</v>
      </c>
      <c r="S196" s="41">
        <f t="shared" si="4"/>
        <v>6.739464211917956E-3</v>
      </c>
      <c r="T196" s="41">
        <f t="shared" si="4"/>
        <v>4.0565281671295491E-3</v>
      </c>
    </row>
    <row r="197" spans="16:20">
      <c r="P197" s="53">
        <v>45665</v>
      </c>
      <c r="Q197" s="41">
        <v>23011.099609375</v>
      </c>
      <c r="R197" s="41">
        <v>1479.09973144531</v>
      </c>
      <c r="S197" s="41">
        <f t="shared" si="4"/>
        <v>-9.3613748839865545E-3</v>
      </c>
      <c r="T197" s="41">
        <f t="shared" si="4"/>
        <v>-1.7028284270184226E-3</v>
      </c>
    </row>
    <row r="198" spans="16:20">
      <c r="P198" s="53">
        <v>45666</v>
      </c>
      <c r="Q198" s="41">
        <v>22868.099609375</v>
      </c>
      <c r="R198" s="41">
        <v>1472.47045898437</v>
      </c>
      <c r="S198" s="41">
        <f t="shared" si="4"/>
        <v>-6.2143922901337608E-3</v>
      </c>
      <c r="T198" s="41">
        <f t="shared" si="4"/>
        <v>-4.4819644815040109E-3</v>
      </c>
    </row>
    <row r="199" spans="16:20">
      <c r="P199" s="53">
        <v>45667</v>
      </c>
      <c r="Q199" s="41">
        <v>22380.849609375</v>
      </c>
      <c r="R199" s="41">
        <v>1453.27563476562</v>
      </c>
      <c r="S199" s="41">
        <f t="shared" si="4"/>
        <v>-2.1306973833551394E-2</v>
      </c>
      <c r="T199" s="41">
        <f t="shared" si="4"/>
        <v>-1.3035795795855589E-2</v>
      </c>
    </row>
    <row r="200" spans="16:20">
      <c r="P200" s="53">
        <v>45670</v>
      </c>
      <c r="Q200" s="41">
        <v>21903.349609375</v>
      </c>
      <c r="R200" s="41">
        <v>1423.98840332031</v>
      </c>
      <c r="S200" s="41">
        <f t="shared" ref="S200:T252" si="5">(Q200-Q199)/Q199</f>
        <v>-2.1335204352563204E-2</v>
      </c>
      <c r="T200" s="41">
        <f t="shared" si="5"/>
        <v>-2.0152564829887455E-2</v>
      </c>
    </row>
    <row r="201" spans="16:20">
      <c r="P201" s="53">
        <v>45671</v>
      </c>
      <c r="Q201" s="41">
        <v>22203.900390625</v>
      </c>
      <c r="R201" s="41">
        <v>1432.44812011718</v>
      </c>
      <c r="S201" s="41">
        <f t="shared" si="5"/>
        <v>1.3721681231867807E-2</v>
      </c>
      <c r="T201" s="41">
        <f t="shared" si="5"/>
        <v>5.9408607381524307E-3</v>
      </c>
    </row>
    <row r="202" spans="16:20">
      <c r="P202" s="53">
        <v>45672</v>
      </c>
      <c r="Q202" s="41">
        <v>21972.69921875</v>
      </c>
      <c r="R202" s="41">
        <v>1431.90380859375</v>
      </c>
      <c r="S202" s="41">
        <f t="shared" si="5"/>
        <v>-1.0412637771182691E-2</v>
      </c>
      <c r="T202" s="41">
        <f t="shared" si="5"/>
        <v>-3.7998690199367904E-4</v>
      </c>
    </row>
    <row r="203" spans="16:20">
      <c r="P203" s="53">
        <v>45673</v>
      </c>
      <c r="Q203" s="41">
        <v>21909.75</v>
      </c>
      <c r="R203" s="41">
        <v>1428.24304199218</v>
      </c>
      <c r="S203" s="41">
        <f t="shared" si="5"/>
        <v>-2.8648832864504622E-3</v>
      </c>
      <c r="T203" s="41">
        <f t="shared" si="5"/>
        <v>-2.5565729901683718E-3</v>
      </c>
    </row>
    <row r="204" spans="16:20">
      <c r="P204" s="53">
        <v>45674</v>
      </c>
      <c r="Q204" s="41">
        <v>22061.69921875</v>
      </c>
      <c r="R204" s="41">
        <v>1427.05578613281</v>
      </c>
      <c r="S204" s="41">
        <f t="shared" si="5"/>
        <v>6.9352328871849292E-3</v>
      </c>
      <c r="T204" s="41">
        <f t="shared" si="5"/>
        <v>-8.3127018613999898E-4</v>
      </c>
    </row>
    <row r="205" spans="16:20">
      <c r="P205" s="53">
        <v>45677</v>
      </c>
      <c r="Q205" s="41">
        <v>22182.400390625</v>
      </c>
      <c r="R205" s="41">
        <v>1430.17236328125</v>
      </c>
      <c r="S205" s="41">
        <f t="shared" si="5"/>
        <v>5.4710732241520805E-3</v>
      </c>
      <c r="T205" s="41">
        <f t="shared" si="5"/>
        <v>2.1839210342895136E-3</v>
      </c>
    </row>
    <row r="206" spans="16:20">
      <c r="P206" s="53">
        <v>45678</v>
      </c>
      <c r="Q206" s="41">
        <v>21882.900390625</v>
      </c>
      <c r="R206" s="41">
        <v>1412.90686035156</v>
      </c>
      <c r="S206" s="41">
        <f t="shared" si="5"/>
        <v>-1.3501694799746666E-2</v>
      </c>
      <c r="T206" s="41">
        <f t="shared" si="5"/>
        <v>-1.2072323149971722E-2</v>
      </c>
    </row>
    <row r="207" spans="16:20">
      <c r="P207" s="53">
        <v>45679</v>
      </c>
      <c r="Q207" s="41">
        <v>22034.94921875</v>
      </c>
      <c r="R207" s="41">
        <v>1424.18640136718</v>
      </c>
      <c r="S207" s="41">
        <f t="shared" si="5"/>
        <v>6.9482941205609222E-3</v>
      </c>
      <c r="T207" s="41">
        <f t="shared" si="5"/>
        <v>7.9832162558920675E-3</v>
      </c>
    </row>
    <row r="208" spans="16:20">
      <c r="P208" s="53">
        <v>45680</v>
      </c>
      <c r="Q208" s="41">
        <v>22343.30078125</v>
      </c>
      <c r="R208" s="41">
        <v>1435.81213378906</v>
      </c>
      <c r="S208" s="41">
        <f t="shared" si="5"/>
        <v>1.3993749631045993E-2</v>
      </c>
      <c r="T208" s="41">
        <f t="shared" si="5"/>
        <v>8.1630693922646758E-3</v>
      </c>
    </row>
    <row r="209" spans="16:20">
      <c r="P209" s="53">
        <v>45681</v>
      </c>
      <c r="Q209" s="41">
        <v>21872.400390625</v>
      </c>
      <c r="R209" s="41">
        <v>1396.48229980468</v>
      </c>
      <c r="S209" s="41">
        <f t="shared" si="5"/>
        <v>-2.1075685962217771E-2</v>
      </c>
      <c r="T209" s="41">
        <f t="shared" si="5"/>
        <v>-2.7392047370842235E-2</v>
      </c>
    </row>
    <row r="210" spans="16:20">
      <c r="P210" s="53">
        <v>45684</v>
      </c>
      <c r="Q210" s="41">
        <v>21292.30078125</v>
      </c>
      <c r="R210" s="41">
        <v>1381.34399414062</v>
      </c>
      <c r="S210" s="41">
        <f t="shared" si="5"/>
        <v>-2.6521991140197106E-2</v>
      </c>
      <c r="T210" s="41">
        <f t="shared" si="5"/>
        <v>-1.0840313311652664E-2</v>
      </c>
    </row>
    <row r="211" spans="16:20">
      <c r="P211" s="53">
        <v>45685</v>
      </c>
      <c r="Q211" s="41">
        <v>20796.599609375</v>
      </c>
      <c r="R211" s="41">
        <v>1405.5849609375</v>
      </c>
      <c r="S211" s="41">
        <f t="shared" si="5"/>
        <v>-2.3280770686440539E-2</v>
      </c>
      <c r="T211" s="41">
        <f t="shared" si="5"/>
        <v>1.7548827011740195E-2</v>
      </c>
    </row>
    <row r="212" spans="16:20">
      <c r="P212" s="53">
        <v>45686</v>
      </c>
      <c r="Q212" s="41">
        <v>21163.900390625</v>
      </c>
      <c r="R212" s="41">
        <v>1408.89953613281</v>
      </c>
      <c r="S212" s="41">
        <f t="shared" si="5"/>
        <v>1.7661578726765634E-2</v>
      </c>
      <c r="T212" s="41">
        <f t="shared" si="5"/>
        <v>2.358146456760064E-3</v>
      </c>
    </row>
    <row r="213" spans="16:20">
      <c r="P213" s="53">
        <v>45687</v>
      </c>
      <c r="Q213" s="41">
        <v>21419.650390625</v>
      </c>
      <c r="R213" s="41">
        <v>1442.04553222656</v>
      </c>
      <c r="S213" s="41">
        <f t="shared" si="5"/>
        <v>1.2084256459328731E-2</v>
      </c>
      <c r="T213" s="41">
        <f t="shared" si="5"/>
        <v>2.3526160129720912E-2</v>
      </c>
    </row>
    <row r="214" spans="16:20">
      <c r="P214" s="53">
        <v>45688</v>
      </c>
      <c r="Q214" s="41">
        <v>21438.599609375</v>
      </c>
      <c r="R214" s="41">
        <v>1463.76354980468</v>
      </c>
      <c r="S214" s="41">
        <f t="shared" si="5"/>
        <v>8.8466517447426389E-4</v>
      </c>
      <c r="T214" s="41">
        <f t="shared" si="5"/>
        <v>1.5060562993865215E-2</v>
      </c>
    </row>
    <row r="215" spans="16:20">
      <c r="P215" s="53">
        <v>45691</v>
      </c>
      <c r="Q215" s="41">
        <v>21361.599609375</v>
      </c>
      <c r="R215" s="41">
        <v>1405.53564453125</v>
      </c>
      <c r="S215" s="41">
        <f t="shared" si="5"/>
        <v>-3.5916525054336223E-3</v>
      </c>
      <c r="T215" s="41">
        <f t="shared" si="5"/>
        <v>-3.9779584128324379E-2</v>
      </c>
    </row>
    <row r="216" spans="16:20">
      <c r="P216" s="53">
        <v>45692</v>
      </c>
      <c r="Q216" s="41">
        <v>21733.94921875</v>
      </c>
      <c r="R216" s="41">
        <v>1433.734375</v>
      </c>
      <c r="S216" s="41">
        <f t="shared" si="5"/>
        <v>1.7430792458612804E-2</v>
      </c>
      <c r="T216" s="41">
        <f t="shared" si="5"/>
        <v>2.0062622088929203E-2</v>
      </c>
    </row>
    <row r="217" spans="16:20">
      <c r="P217" s="53">
        <v>45693</v>
      </c>
      <c r="Q217" s="41">
        <v>21868.5</v>
      </c>
      <c r="R217" s="41">
        <v>1421.61389160156</v>
      </c>
      <c r="S217" s="41">
        <f t="shared" si="5"/>
        <v>6.1908114303461373E-3</v>
      </c>
      <c r="T217" s="41">
        <f t="shared" si="5"/>
        <v>-8.453785868417921E-3</v>
      </c>
    </row>
    <row r="218" spans="16:20">
      <c r="P218" s="53">
        <v>45694</v>
      </c>
      <c r="Q218" s="41">
        <v>22009.05078125</v>
      </c>
      <c r="R218" s="41">
        <v>1455.94702148437</v>
      </c>
      <c r="S218" s="41">
        <f t="shared" si="5"/>
        <v>6.427088334819489E-3</v>
      </c>
      <c r="T218" s="41">
        <f t="shared" si="5"/>
        <v>2.4150812035278458E-2</v>
      </c>
    </row>
    <row r="219" spans="16:20">
      <c r="P219" s="53">
        <v>45695</v>
      </c>
      <c r="Q219" s="41">
        <v>22077</v>
      </c>
      <c r="R219" s="41">
        <v>1456.68908691406</v>
      </c>
      <c r="S219" s="41">
        <f t="shared" si="5"/>
        <v>3.0873307270428696E-3</v>
      </c>
      <c r="T219" s="41">
        <f t="shared" si="5"/>
        <v>5.0967886793947285E-4</v>
      </c>
    </row>
    <row r="220" spans="16:20">
      <c r="P220" s="53">
        <v>45698</v>
      </c>
      <c r="Q220" s="41">
        <v>21665.650390625</v>
      </c>
      <c r="R220" s="41">
        <v>1443.43078613281</v>
      </c>
      <c r="S220" s="41">
        <f t="shared" si="5"/>
        <v>-1.8632495781809123E-2</v>
      </c>
      <c r="T220" s="41">
        <f t="shared" si="5"/>
        <v>-9.1016682285560355E-3</v>
      </c>
    </row>
    <row r="221" spans="16:20">
      <c r="P221" s="53">
        <v>45699</v>
      </c>
      <c r="Q221" s="41">
        <v>21249.5</v>
      </c>
      <c r="R221" s="41">
        <v>1437.791015625</v>
      </c>
      <c r="S221" s="41">
        <f t="shared" si="5"/>
        <v>-1.9207842050524063E-2</v>
      </c>
      <c r="T221" s="41">
        <f t="shared" si="5"/>
        <v>-3.907198434446502E-3</v>
      </c>
    </row>
    <row r="222" spans="16:20">
      <c r="P222" s="53">
        <v>45700</v>
      </c>
      <c r="Q222" s="41">
        <v>21142.05078125</v>
      </c>
      <c r="R222" s="41">
        <v>1433.88269042968</v>
      </c>
      <c r="S222" s="41">
        <f t="shared" si="5"/>
        <v>-5.0565528012423821E-3</v>
      </c>
      <c r="T222" s="41">
        <f t="shared" si="5"/>
        <v>-2.7182846135820897E-3</v>
      </c>
    </row>
    <row r="223" spans="16:20">
      <c r="P223" s="53">
        <v>45701</v>
      </c>
      <c r="Q223" s="41">
        <v>21427.099609375</v>
      </c>
      <c r="R223" s="41">
        <v>1456.59020996093</v>
      </c>
      <c r="S223" s="41">
        <f t="shared" si="5"/>
        <v>1.3482553375465254E-2</v>
      </c>
      <c r="T223" s="41">
        <f t="shared" si="5"/>
        <v>1.5836385837425391E-2</v>
      </c>
    </row>
    <row r="224" spans="16:20">
      <c r="P224" s="53">
        <v>45702</v>
      </c>
      <c r="Q224" s="41">
        <v>20811.55078125</v>
      </c>
      <c r="R224" s="41">
        <v>1444.0244140625</v>
      </c>
      <c r="S224" s="41">
        <f t="shared" si="5"/>
        <v>-2.872758513035889E-2</v>
      </c>
      <c r="T224" s="41">
        <f t="shared" si="5"/>
        <v>-8.6268573085954269E-3</v>
      </c>
    </row>
    <row r="225" spans="16:20">
      <c r="P225" s="53">
        <v>45705</v>
      </c>
      <c r="Q225" s="41">
        <v>21076</v>
      </c>
      <c r="R225" s="41">
        <v>1459.06372070312</v>
      </c>
      <c r="S225" s="41">
        <f t="shared" si="5"/>
        <v>1.2706848304079935E-2</v>
      </c>
      <c r="T225" s="41">
        <f t="shared" si="5"/>
        <v>1.041485621306751E-2</v>
      </c>
    </row>
    <row r="226" spans="16:20">
      <c r="P226" s="53">
        <v>45706</v>
      </c>
      <c r="Q226" s="41">
        <v>20969.19921875</v>
      </c>
      <c r="R226" s="41">
        <v>1466.43493652343</v>
      </c>
      <c r="S226" s="41">
        <f t="shared" si="5"/>
        <v>-5.0674122817422661E-3</v>
      </c>
      <c r="T226" s="41">
        <f t="shared" si="5"/>
        <v>5.0520177533835359E-3</v>
      </c>
    </row>
    <row r="227" spans="16:20">
      <c r="P227" s="53">
        <v>45707</v>
      </c>
      <c r="Q227" s="41">
        <v>20820</v>
      </c>
      <c r="R227" s="41">
        <v>1448.6748046875</v>
      </c>
      <c r="S227" s="41">
        <f t="shared" si="5"/>
        <v>-7.1151605358678047E-3</v>
      </c>
      <c r="T227" s="41">
        <f t="shared" si="5"/>
        <v>-1.2111094323785727E-2</v>
      </c>
    </row>
    <row r="228" spans="16:20">
      <c r="P228" s="53">
        <v>45708</v>
      </c>
      <c r="Q228" s="41">
        <v>20785.75</v>
      </c>
      <c r="R228" s="41">
        <v>1464.06030273437</v>
      </c>
      <c r="S228" s="41">
        <f t="shared" si="5"/>
        <v>-1.6450528338136407E-3</v>
      </c>
      <c r="T228" s="41">
        <f t="shared" si="5"/>
        <v>1.062039458206003E-2</v>
      </c>
    </row>
    <row r="229" spans="16:20">
      <c r="P229" s="53">
        <v>45709</v>
      </c>
      <c r="Q229" s="41">
        <v>20385.650390625</v>
      </c>
      <c r="R229" s="41">
        <v>1460.15209960937</v>
      </c>
      <c r="S229" s="41">
        <f t="shared" si="5"/>
        <v>-1.9248745384458102E-2</v>
      </c>
      <c r="T229" s="41">
        <f t="shared" si="5"/>
        <v>-2.6694276989143117E-3</v>
      </c>
    </row>
    <row r="230" spans="16:20">
      <c r="P230" s="53">
        <v>45712</v>
      </c>
      <c r="Q230" s="41">
        <v>20389.69921875</v>
      </c>
      <c r="R230" s="41">
        <v>1461.1416015625</v>
      </c>
      <c r="S230" s="41">
        <f t="shared" si="5"/>
        <v>1.9861167279028706E-4</v>
      </c>
      <c r="T230" s="41">
        <f t="shared" si="5"/>
        <v>6.776704655595267E-4</v>
      </c>
    </row>
    <row r="231" spans="16:20">
      <c r="P231" s="53">
        <v>45713</v>
      </c>
      <c r="Q231" s="41">
        <v>20249.150390625</v>
      </c>
      <c r="R231" s="41">
        <v>1447.88317871093</v>
      </c>
      <c r="S231" s="41">
        <f t="shared" si="5"/>
        <v>-6.893129055859433E-3</v>
      </c>
      <c r="T231" s="41">
        <f t="shared" si="5"/>
        <v>-9.0740163974469372E-3</v>
      </c>
    </row>
    <row r="232" spans="16:20">
      <c r="P232" s="53">
        <v>45715</v>
      </c>
      <c r="Q232" s="41">
        <v>20201.25</v>
      </c>
      <c r="R232" s="41">
        <v>1425.91784667968</v>
      </c>
      <c r="S232" s="41">
        <f t="shared" si="5"/>
        <v>-2.3655506379752621E-3</v>
      </c>
      <c r="T232" s="41">
        <f t="shared" si="5"/>
        <v>-1.5170652131483447E-2</v>
      </c>
    </row>
    <row r="233" spans="16:20">
      <c r="P233" s="53">
        <v>45716</v>
      </c>
      <c r="Q233" s="41">
        <v>19813.5</v>
      </c>
      <c r="R233" s="41">
        <v>1392.62353515625</v>
      </c>
      <c r="S233" s="41">
        <f t="shared" si="5"/>
        <v>-1.9194356784852422E-2</v>
      </c>
      <c r="T233" s="41">
        <f t="shared" si="5"/>
        <v>-2.3349389728838477E-2</v>
      </c>
    </row>
    <row r="234" spans="16:20">
      <c r="P234" s="53">
        <v>45719</v>
      </c>
      <c r="Q234" s="41">
        <v>19879.80078125</v>
      </c>
      <c r="R234" s="41">
        <v>1392.67297363281</v>
      </c>
      <c r="S234" s="41">
        <f t="shared" si="5"/>
        <v>3.3462427763898354E-3</v>
      </c>
      <c r="T234" s="41">
        <f t="shared" si="5"/>
        <v>3.5500244906066431E-5</v>
      </c>
    </row>
    <row r="235" spans="16:20">
      <c r="P235" s="53">
        <v>45720</v>
      </c>
      <c r="Q235" s="41">
        <v>19820.650390625</v>
      </c>
      <c r="R235" s="41">
        <v>1386.98376464843</v>
      </c>
      <c r="S235" s="41">
        <f t="shared" si="5"/>
        <v>-2.9754015785102223E-3</v>
      </c>
      <c r="T235" s="41">
        <f t="shared" si="5"/>
        <v>-4.0851004450381543E-3</v>
      </c>
    </row>
    <row r="236" spans="16:20">
      <c r="P236" s="53">
        <v>45721</v>
      </c>
      <c r="Q236" s="41">
        <v>20126.80078125</v>
      </c>
      <c r="R236" s="41">
        <v>1404.74401855468</v>
      </c>
      <c r="S236" s="41">
        <f t="shared" si="5"/>
        <v>1.544603151720019E-2</v>
      </c>
      <c r="T236" s="41">
        <f t="shared" si="5"/>
        <v>1.2804947223554441E-2</v>
      </c>
    </row>
    <row r="237" spans="16:20">
      <c r="P237" s="53">
        <v>45722</v>
      </c>
      <c r="Q237" s="41">
        <v>20423.349609375</v>
      </c>
      <c r="R237" s="41">
        <v>1446.30004882812</v>
      </c>
      <c r="S237" s="41">
        <f t="shared" si="5"/>
        <v>1.4734027098895071E-2</v>
      </c>
      <c r="T237" s="41">
        <f t="shared" si="5"/>
        <v>2.9582635501232728E-2</v>
      </c>
    </row>
    <row r="238" spans="16:20">
      <c r="P238" s="53">
        <v>45723</v>
      </c>
      <c r="Q238" s="41">
        <v>20378.30078125</v>
      </c>
      <c r="R238" s="41">
        <v>1443.03491210937</v>
      </c>
      <c r="S238" s="41">
        <f t="shared" si="5"/>
        <v>-2.2057512105811026E-3</v>
      </c>
      <c r="T238" s="41">
        <f t="shared" si="5"/>
        <v>-2.257579069706602E-3</v>
      </c>
    </row>
    <row r="239" spans="16:20">
      <c r="P239" s="53">
        <v>45726</v>
      </c>
      <c r="Q239" s="41">
        <v>20256.55078125</v>
      </c>
      <c r="R239" s="41">
        <v>1447.28955078125</v>
      </c>
      <c r="S239" s="41">
        <f t="shared" si="5"/>
        <v>-5.9744922457922369E-3</v>
      </c>
      <c r="T239" s="41">
        <f t="shared" si="5"/>
        <v>2.9483962142404052E-3</v>
      </c>
    </row>
    <row r="240" spans="16:20">
      <c r="P240" s="53">
        <v>45727</v>
      </c>
      <c r="Q240" s="41">
        <v>20332.099609375</v>
      </c>
      <c r="R240" s="41">
        <v>1430.46923828125</v>
      </c>
      <c r="S240" s="41">
        <f t="shared" si="5"/>
        <v>3.7295998188857501E-3</v>
      </c>
      <c r="T240" s="41">
        <f t="shared" si="5"/>
        <v>-1.1621940123122121E-2</v>
      </c>
    </row>
    <row r="241" spans="16:20">
      <c r="P241" s="53">
        <v>45728</v>
      </c>
      <c r="Q241" s="41">
        <v>20424</v>
      </c>
      <c r="R241" s="41">
        <v>1438.92883300781</v>
      </c>
      <c r="S241" s="41">
        <f t="shared" si="5"/>
        <v>4.5199655908937869E-3</v>
      </c>
      <c r="T241" s="41">
        <f t="shared" si="5"/>
        <v>5.9138599420176597E-3</v>
      </c>
    </row>
    <row r="242" spans="16:20">
      <c r="P242" s="53">
        <v>45729</v>
      </c>
      <c r="Q242" s="41">
        <v>20386.849609375</v>
      </c>
      <c r="R242" s="41">
        <v>1446.44848632812</v>
      </c>
      <c r="S242" s="41">
        <f t="shared" si="5"/>
        <v>-1.8189576295045045E-3</v>
      </c>
      <c r="T242" s="41">
        <f t="shared" si="5"/>
        <v>5.2258688183984599E-3</v>
      </c>
    </row>
    <row r="243" spans="16:20">
      <c r="P243" s="53">
        <v>45733</v>
      </c>
      <c r="Q243" s="41">
        <v>20703.94921875</v>
      </c>
      <c r="R243" s="41">
        <v>1476.82397460937</v>
      </c>
      <c r="S243" s="41">
        <f t="shared" si="5"/>
        <v>1.5554125107646847E-2</v>
      </c>
      <c r="T243" s="41">
        <f t="shared" si="5"/>
        <v>2.1000048441655643E-2</v>
      </c>
    </row>
    <row r="244" spans="16:20">
      <c r="P244" s="53">
        <v>45734</v>
      </c>
      <c r="Q244" s="41">
        <v>21041.30078125</v>
      </c>
      <c r="R244" s="41">
        <v>1476.82397460937</v>
      </c>
      <c r="S244" s="41">
        <f t="shared" si="5"/>
        <v>1.6294068292752872E-2</v>
      </c>
      <c r="T244" s="41">
        <f t="shared" si="5"/>
        <v>0</v>
      </c>
    </row>
    <row r="245" spans="16:20">
      <c r="P245" s="53">
        <v>45735</v>
      </c>
      <c r="Q245" s="41">
        <v>21145.650390625</v>
      </c>
      <c r="R245" s="41">
        <v>1483.30480957031</v>
      </c>
      <c r="S245" s="41">
        <f t="shared" si="5"/>
        <v>4.9592755913639344E-3</v>
      </c>
      <c r="T245" s="41">
        <f t="shared" si="5"/>
        <v>4.3883597993824731E-3</v>
      </c>
    </row>
    <row r="246" spans="16:20">
      <c r="P246" s="53">
        <v>45736</v>
      </c>
      <c r="Q246" s="41">
        <v>21340.599609375</v>
      </c>
      <c r="R246" s="41">
        <v>1496.06848144531</v>
      </c>
      <c r="S246" s="41">
        <f t="shared" si="5"/>
        <v>9.2193531600442725E-3</v>
      </c>
      <c r="T246" s="41">
        <f t="shared" si="5"/>
        <v>8.6048880800820935E-3</v>
      </c>
    </row>
    <row r="247" spans="16:20">
      <c r="P247" s="53">
        <v>45737</v>
      </c>
      <c r="Q247" s="41">
        <v>21625.900390625</v>
      </c>
      <c r="R247" s="41">
        <v>1507.74377441406</v>
      </c>
      <c r="S247" s="41">
        <f t="shared" si="5"/>
        <v>1.3368920577314349E-2</v>
      </c>
      <c r="T247" s="41">
        <f t="shared" si="5"/>
        <v>7.803982981762189E-3</v>
      </c>
    </row>
    <row r="248" spans="16:20">
      <c r="P248" s="53">
        <v>45740</v>
      </c>
      <c r="Q248" s="41">
        <v>21771.150390625</v>
      </c>
      <c r="R248" s="41">
        <v>1507.94165039062</v>
      </c>
      <c r="S248" s="41">
        <f t="shared" si="5"/>
        <v>6.7164833545135085E-3</v>
      </c>
      <c r="T248" s="41">
        <f t="shared" si="5"/>
        <v>1.3123979015393217E-4</v>
      </c>
    </row>
    <row r="249" spans="16:20">
      <c r="P249" s="53">
        <v>45741</v>
      </c>
      <c r="Q249" s="41">
        <v>21542.5</v>
      </c>
      <c r="R249" s="41">
        <v>1495.22741699218</v>
      </c>
      <c r="S249" s="41">
        <f t="shared" si="5"/>
        <v>-1.0502448723309563E-2</v>
      </c>
      <c r="T249" s="41">
        <f t="shared" si="5"/>
        <v>-8.4315155000503385E-3</v>
      </c>
    </row>
    <row r="250" spans="16:20">
      <c r="P250" s="53">
        <v>45742</v>
      </c>
      <c r="Q250" s="41">
        <v>21360.599609375</v>
      </c>
      <c r="R250" s="41">
        <v>1460.59729003906</v>
      </c>
      <c r="S250" s="41">
        <f t="shared" si="5"/>
        <v>-8.4437920680051053E-3</v>
      </c>
      <c r="T250" s="41">
        <f t="shared" si="5"/>
        <v>-2.3160441388094952E-2</v>
      </c>
    </row>
    <row r="251" spans="16:20">
      <c r="P251" s="53">
        <v>45743</v>
      </c>
      <c r="Q251" s="41">
        <v>21275.150390625</v>
      </c>
      <c r="R251" s="41">
        <v>1467.2265625</v>
      </c>
      <c r="S251" s="41">
        <f t="shared" si="5"/>
        <v>-4.0003192940565677E-3</v>
      </c>
      <c r="T251" s="41">
        <f t="shared" si="5"/>
        <v>4.5387407645831783E-3</v>
      </c>
    </row>
    <row r="252" spans="16:20">
      <c r="P252" s="53">
        <v>45744</v>
      </c>
      <c r="Q252" s="41">
        <v>21137.44921875</v>
      </c>
      <c r="R252" s="41">
        <v>1426.95666503906</v>
      </c>
      <c r="S252" s="41">
        <f t="shared" si="5"/>
        <v>-6.4723947585197186E-3</v>
      </c>
      <c r="T252" s="41">
        <f t="shared" si="5"/>
        <v>-2.7446270732942788E-2</v>
      </c>
    </row>
  </sheetData>
  <mergeCells count="2">
    <mergeCell ref="C2:F2"/>
    <mergeCell ref="P2:T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8E2B6-3880-4379-920A-FFD35C7B79A2}">
  <dimension ref="A2:I252"/>
  <sheetViews>
    <sheetView workbookViewId="0">
      <selection sqref="A1:I1048576"/>
    </sheetView>
  </sheetViews>
  <sheetFormatPr defaultRowHeight="14.4"/>
  <cols>
    <col min="1" max="1" width="10.33203125" bestFit="1" customWidth="1"/>
    <col min="2" max="2" width="12.6640625" bestFit="1" customWidth="1"/>
    <col min="3" max="3" width="11.6640625" bestFit="1" customWidth="1"/>
    <col min="8" max="8" width="25.6640625" bestFit="1" customWidth="1"/>
    <col min="9" max="9" width="15.6640625" bestFit="1" customWidth="1"/>
  </cols>
  <sheetData>
    <row r="2" spans="1:9">
      <c r="C2" t="s">
        <v>147</v>
      </c>
    </row>
    <row r="3" spans="1:9">
      <c r="A3" t="s">
        <v>1</v>
      </c>
      <c r="B3" t="s">
        <v>2</v>
      </c>
      <c r="C3" t="s">
        <v>2</v>
      </c>
      <c r="D3" t="s">
        <v>3</v>
      </c>
      <c r="E3" t="s">
        <v>3</v>
      </c>
      <c r="H3" t="s">
        <v>142</v>
      </c>
      <c r="I3" t="s">
        <v>5</v>
      </c>
    </row>
    <row r="4" spans="1:9">
      <c r="A4" t="s">
        <v>6</v>
      </c>
      <c r="B4" t="s">
        <v>7</v>
      </c>
      <c r="C4" t="s">
        <v>147</v>
      </c>
      <c r="D4" t="s">
        <v>8</v>
      </c>
      <c r="E4" t="s">
        <v>9</v>
      </c>
      <c r="H4">
        <f>_xlfn.COVARIANCE.S(D7:D252,E7:E252)</f>
        <v>8.2296475675415045E-5</v>
      </c>
      <c r="I4">
        <f>_xlfn.VAR.S(D7:D252)</f>
        <v>1.0123143075821166E-4</v>
      </c>
    </row>
    <row r="5" spans="1:9">
      <c r="A5" t="s">
        <v>10</v>
      </c>
    </row>
    <row r="6" spans="1:9">
      <c r="A6" s="2">
        <v>45383</v>
      </c>
      <c r="B6">
        <v>19207.900390625</v>
      </c>
      <c r="C6">
        <v>1234.87915039062</v>
      </c>
      <c r="H6" t="s">
        <v>11</v>
      </c>
    </row>
    <row r="7" spans="1:9">
      <c r="A7" s="2">
        <v>45384</v>
      </c>
      <c r="B7">
        <v>19185.150390625</v>
      </c>
      <c r="C7">
        <v>1232.35021972656</v>
      </c>
      <c r="D7">
        <f>(B7-B6)/B6</f>
        <v>-1.1844084744995777E-3</v>
      </c>
      <c r="E7">
        <f>(C7-C6)/C6</f>
        <v>-2.0479175336793414E-3</v>
      </c>
      <c r="H7">
        <f>H4/I4</f>
        <v>0.8129537936886202</v>
      </c>
    </row>
    <row r="8" spans="1:9">
      <c r="A8" s="2">
        <v>45385</v>
      </c>
      <c r="B8">
        <v>19153.05078125</v>
      </c>
      <c r="C8">
        <v>1209.99523925781</v>
      </c>
      <c r="D8">
        <f t="shared" ref="D8:D71" si="0">(B8-B7)/B7</f>
        <v>-1.6731486968528414E-3</v>
      </c>
      <c r="E8">
        <f t="shared" ref="E8:E71" si="1">(C8-C7)/C7</f>
        <v>-1.8140119676134138E-2</v>
      </c>
    </row>
    <row r="9" spans="1:9">
      <c r="A9" s="2">
        <v>45386</v>
      </c>
      <c r="B9">
        <v>19125.19921875</v>
      </c>
      <c r="C9">
        <v>1213.5712890625</v>
      </c>
      <c r="D9">
        <f t="shared" si="0"/>
        <v>-1.4541580251677432E-3</v>
      </c>
      <c r="E9">
        <f t="shared" si="1"/>
        <v>2.9554246898388526E-3</v>
      </c>
      <c r="H9" t="s">
        <v>12</v>
      </c>
    </row>
    <row r="10" spans="1:9">
      <c r="A10" s="2">
        <v>45387</v>
      </c>
      <c r="B10">
        <v>19160.75</v>
      </c>
      <c r="C10">
        <v>1220.841796875</v>
      </c>
      <c r="D10">
        <f t="shared" si="0"/>
        <v>1.8588450161160495E-3</v>
      </c>
      <c r="E10">
        <f t="shared" si="1"/>
        <v>5.9910018290862538E-3</v>
      </c>
      <c r="H10">
        <f>AVERAGE(D7:D252)</f>
        <v>4.3962859287504746E-4</v>
      </c>
    </row>
    <row r="11" spans="1:9">
      <c r="A11" s="2">
        <v>45390</v>
      </c>
      <c r="B11">
        <v>19218.849609375</v>
      </c>
      <c r="C11">
        <v>1219.90344238281</v>
      </c>
      <c r="D11">
        <f t="shared" si="0"/>
        <v>3.0322200005219002E-3</v>
      </c>
      <c r="E11">
        <f t="shared" si="1"/>
        <v>-7.6861268560096468E-4</v>
      </c>
    </row>
    <row r="12" spans="1:9">
      <c r="A12" s="2">
        <v>45391</v>
      </c>
      <c r="B12">
        <v>19182.30078125</v>
      </c>
      <c r="C12">
        <v>1218.58947753906</v>
      </c>
      <c r="D12">
        <f t="shared" si="0"/>
        <v>-1.901717785812289E-3</v>
      </c>
      <c r="E12">
        <f t="shared" si="1"/>
        <v>-1.077105611886349E-3</v>
      </c>
    </row>
    <row r="13" spans="1:9">
      <c r="A13" s="2">
        <v>45392</v>
      </c>
      <c r="B13">
        <v>19117</v>
      </c>
      <c r="C13">
        <v>1216.61376953125</v>
      </c>
      <c r="D13">
        <f t="shared" si="0"/>
        <v>-3.4042204840114454E-3</v>
      </c>
      <c r="E13">
        <f t="shared" si="1"/>
        <v>-1.6213072935767827E-3</v>
      </c>
    </row>
    <row r="14" spans="1:9">
      <c r="A14" s="2">
        <v>45394</v>
      </c>
      <c r="B14">
        <v>18788.650390625</v>
      </c>
      <c r="C14">
        <v>1201.98388671875</v>
      </c>
      <c r="D14">
        <f t="shared" si="0"/>
        <v>-1.717579167102579E-2</v>
      </c>
      <c r="E14">
        <f t="shared" si="1"/>
        <v>-1.2025084031505543E-2</v>
      </c>
    </row>
    <row r="15" spans="1:9">
      <c r="A15" s="2">
        <v>45397</v>
      </c>
      <c r="B15">
        <v>18617.650390625</v>
      </c>
      <c r="C15">
        <v>1187.56127929687</v>
      </c>
      <c r="D15">
        <f t="shared" si="0"/>
        <v>-9.1012391228123615E-3</v>
      </c>
      <c r="E15">
        <f t="shared" si="1"/>
        <v>-1.1999002300481522E-2</v>
      </c>
    </row>
    <row r="16" spans="1:9">
      <c r="A16" s="2">
        <v>45398</v>
      </c>
      <c r="B16">
        <v>18695.599609375</v>
      </c>
      <c r="C16">
        <v>1195.365234375</v>
      </c>
      <c r="D16">
        <f t="shared" si="0"/>
        <v>4.1868451235528448E-3</v>
      </c>
      <c r="E16">
        <f t="shared" si="1"/>
        <v>6.5714125360760833E-3</v>
      </c>
    </row>
    <row r="17" spans="1:5">
      <c r="A17" s="2">
        <v>45400</v>
      </c>
      <c r="B17">
        <v>18525.75</v>
      </c>
      <c r="C17">
        <v>1176.95190429687</v>
      </c>
      <c r="D17">
        <f t="shared" si="0"/>
        <v>-9.0850046494271343E-3</v>
      </c>
      <c r="E17">
        <f t="shared" si="1"/>
        <v>-1.5403936427645449E-2</v>
      </c>
    </row>
    <row r="18" spans="1:5">
      <c r="A18" s="2">
        <v>45401</v>
      </c>
      <c r="B18">
        <v>18404.599609375</v>
      </c>
      <c r="C18">
        <v>1174.12646484375</v>
      </c>
      <c r="D18">
        <f t="shared" si="0"/>
        <v>-6.5395673926831573E-3</v>
      </c>
      <c r="E18">
        <f t="shared" si="1"/>
        <v>-2.4006413879825964E-3</v>
      </c>
    </row>
    <row r="19" spans="1:5">
      <c r="A19" s="2">
        <v>45404</v>
      </c>
      <c r="B19">
        <v>18643</v>
      </c>
      <c r="C19">
        <v>1188.59851074218</v>
      </c>
      <c r="D19">
        <f t="shared" si="0"/>
        <v>1.2953304917514357E-2</v>
      </c>
      <c r="E19">
        <f t="shared" si="1"/>
        <v>1.2325798226816991E-2</v>
      </c>
    </row>
    <row r="20" spans="1:5">
      <c r="A20" s="2">
        <v>45405</v>
      </c>
      <c r="B20">
        <v>18463.75</v>
      </c>
      <c r="C20">
        <v>1175.95397949218</v>
      </c>
      <c r="D20">
        <f t="shared" si="0"/>
        <v>-9.6148688515796821E-3</v>
      </c>
      <c r="E20">
        <f t="shared" si="1"/>
        <v>-1.0638185338213616E-2</v>
      </c>
    </row>
    <row r="21" spans="1:5">
      <c r="A21" s="2">
        <v>45406</v>
      </c>
      <c r="B21">
        <v>18586.19921875</v>
      </c>
      <c r="C21">
        <v>1175.697265625</v>
      </c>
      <c r="D21">
        <f t="shared" si="0"/>
        <v>6.6318715726761896E-3</v>
      </c>
      <c r="E21">
        <f t="shared" si="1"/>
        <v>-2.1830264760093343E-4</v>
      </c>
    </row>
    <row r="22" spans="1:5">
      <c r="A22" s="2">
        <v>45407</v>
      </c>
      <c r="B22">
        <v>18878.150390625</v>
      </c>
      <c r="C22">
        <v>1228.63586425781</v>
      </c>
      <c r="D22">
        <f t="shared" si="0"/>
        <v>1.5707954511779677E-2</v>
      </c>
      <c r="E22">
        <f t="shared" si="1"/>
        <v>4.5027406442650755E-2</v>
      </c>
    </row>
    <row r="23" spans="1:5">
      <c r="A23" s="2">
        <v>45408</v>
      </c>
      <c r="B23">
        <v>18994.650390625</v>
      </c>
      <c r="C23">
        <v>1235.22497558593</v>
      </c>
      <c r="D23">
        <f t="shared" si="0"/>
        <v>6.1711554145608772E-3</v>
      </c>
      <c r="E23">
        <f t="shared" si="1"/>
        <v>5.3629488767205444E-3</v>
      </c>
    </row>
    <row r="24" spans="1:5">
      <c r="A24" s="2">
        <v>45411</v>
      </c>
      <c r="B24">
        <v>19096.900390625</v>
      </c>
      <c r="C24">
        <v>1244.11560058593</v>
      </c>
      <c r="D24">
        <f t="shared" si="0"/>
        <v>5.3830946028080888E-3</v>
      </c>
      <c r="E24">
        <f t="shared" si="1"/>
        <v>7.1975754827841984E-3</v>
      </c>
    </row>
    <row r="25" spans="1:5">
      <c r="A25" s="2">
        <v>45412</v>
      </c>
      <c r="B25">
        <v>18970.599609375</v>
      </c>
      <c r="C25">
        <v>1225.78112792968</v>
      </c>
      <c r="D25">
        <f t="shared" si="0"/>
        <v>-6.6136796373511613E-3</v>
      </c>
      <c r="E25">
        <f t="shared" si="1"/>
        <v>-1.4736952617277026E-2</v>
      </c>
    </row>
    <row r="26" spans="1:5">
      <c r="A26" s="2">
        <v>45414</v>
      </c>
      <c r="B26">
        <v>19124.44921875</v>
      </c>
      <c r="C26">
        <v>1242.21887207031</v>
      </c>
      <c r="D26">
        <f t="shared" si="0"/>
        <v>8.1098970271329604E-3</v>
      </c>
      <c r="E26">
        <f t="shared" si="1"/>
        <v>1.3410015675794444E-2</v>
      </c>
    </row>
    <row r="27" spans="1:5">
      <c r="A27" s="2">
        <v>45415</v>
      </c>
      <c r="B27">
        <v>19133.400390625</v>
      </c>
      <c r="C27">
        <v>1254.47814941406</v>
      </c>
      <c r="D27">
        <f t="shared" si="0"/>
        <v>4.6804861006005281E-4</v>
      </c>
      <c r="E27">
        <f t="shared" si="1"/>
        <v>9.8688545306982907E-3</v>
      </c>
    </row>
    <row r="28" spans="1:5">
      <c r="A28" s="2">
        <v>45418</v>
      </c>
      <c r="B28">
        <v>19203.30078125</v>
      </c>
      <c r="C28">
        <v>1243.39440917968</v>
      </c>
      <c r="D28">
        <f t="shared" si="0"/>
        <v>3.6533177165544422E-3</v>
      </c>
      <c r="E28">
        <f t="shared" si="1"/>
        <v>-8.8353394114971083E-3</v>
      </c>
    </row>
    <row r="29" spans="1:5">
      <c r="A29" s="2">
        <v>45419</v>
      </c>
      <c r="B29">
        <v>18846.30078125</v>
      </c>
      <c r="C29">
        <v>1236.31164550781</v>
      </c>
      <c r="D29">
        <f t="shared" si="0"/>
        <v>-1.8590553992081031E-2</v>
      </c>
      <c r="E29">
        <f t="shared" si="1"/>
        <v>-5.696312947508584E-3</v>
      </c>
    </row>
    <row r="30" spans="1:5">
      <c r="A30" s="2">
        <v>45420</v>
      </c>
      <c r="B30">
        <v>18850.849609375</v>
      </c>
      <c r="C30">
        <v>1196.55065917968</v>
      </c>
      <c r="D30">
        <f t="shared" si="0"/>
        <v>2.4136450849418601E-4</v>
      </c>
      <c r="E30">
        <f t="shared" si="1"/>
        <v>-3.2160973709665523E-2</v>
      </c>
    </row>
    <row r="31" spans="1:5">
      <c r="A31" s="2">
        <v>45421</v>
      </c>
      <c r="B31">
        <v>18437.05078125</v>
      </c>
      <c r="C31">
        <v>1161.18566894531</v>
      </c>
      <c r="D31">
        <f t="shared" si="0"/>
        <v>-2.1951203086316463E-2</v>
      </c>
      <c r="E31">
        <f t="shared" si="1"/>
        <v>-2.9555781832601383E-2</v>
      </c>
    </row>
    <row r="32" spans="1:5">
      <c r="A32" s="2">
        <v>45422</v>
      </c>
      <c r="B32">
        <v>18609.44921875</v>
      </c>
      <c r="C32">
        <v>1169.8095703125</v>
      </c>
      <c r="D32">
        <f t="shared" si="0"/>
        <v>9.3506515518916242E-3</v>
      </c>
      <c r="E32">
        <f t="shared" si="1"/>
        <v>7.4268065804006861E-3</v>
      </c>
    </row>
    <row r="33" spans="1:5">
      <c r="A33" s="2">
        <v>45425</v>
      </c>
      <c r="B33">
        <v>18939</v>
      </c>
      <c r="C33">
        <v>1167.34973144531</v>
      </c>
      <c r="D33">
        <f t="shared" si="0"/>
        <v>1.7708787475448774E-2</v>
      </c>
      <c r="E33">
        <f t="shared" si="1"/>
        <v>-2.1027686297120018E-3</v>
      </c>
    </row>
    <row r="34" spans="1:5">
      <c r="A34" s="2">
        <v>45426</v>
      </c>
      <c r="B34">
        <v>18860.849609375</v>
      </c>
      <c r="C34">
        <v>1159.49658203125</v>
      </c>
      <c r="D34">
        <f t="shared" si="0"/>
        <v>-4.1264264546702571E-3</v>
      </c>
      <c r="E34">
        <f t="shared" si="1"/>
        <v>-6.72733218033718E-3</v>
      </c>
    </row>
    <row r="35" spans="1:5">
      <c r="A35" s="2">
        <v>45427</v>
      </c>
      <c r="B35">
        <v>18886.55078125</v>
      </c>
      <c r="C35">
        <v>1160.72143554687</v>
      </c>
      <c r="D35">
        <f t="shared" si="0"/>
        <v>1.3626730718548829E-3</v>
      </c>
      <c r="E35">
        <f t="shared" si="1"/>
        <v>1.0563666461821327E-3</v>
      </c>
    </row>
    <row r="36" spans="1:5">
      <c r="A36" s="2">
        <v>45428</v>
      </c>
      <c r="B36">
        <v>18996.150390625</v>
      </c>
      <c r="C36">
        <v>1155.86108398437</v>
      </c>
      <c r="D36">
        <f t="shared" si="0"/>
        <v>5.8030505752171115E-3</v>
      </c>
      <c r="E36">
        <f t="shared" si="1"/>
        <v>-4.1873540141955439E-3</v>
      </c>
    </row>
    <row r="37" spans="1:5">
      <c r="A37" s="2">
        <v>45429</v>
      </c>
      <c r="B37">
        <v>18981.599609375</v>
      </c>
      <c r="C37">
        <v>1145.81481933593</v>
      </c>
      <c r="D37">
        <f t="shared" si="0"/>
        <v>-7.6598578926713055E-4</v>
      </c>
      <c r="E37">
        <f t="shared" si="1"/>
        <v>-8.6915848172771006E-3</v>
      </c>
    </row>
    <row r="38" spans="1:5">
      <c r="A38" s="2">
        <v>45433</v>
      </c>
      <c r="B38">
        <v>19205.19921875</v>
      </c>
      <c r="C38">
        <v>1141.91271972656</v>
      </c>
      <c r="D38">
        <f t="shared" si="0"/>
        <v>1.17798085502006E-2</v>
      </c>
      <c r="E38">
        <f t="shared" si="1"/>
        <v>-3.4055237753265436E-3</v>
      </c>
    </row>
    <row r="39" spans="1:5">
      <c r="A39" s="2">
        <v>45434</v>
      </c>
      <c r="B39">
        <v>19317.400390625</v>
      </c>
      <c r="C39">
        <v>1160.27697753906</v>
      </c>
      <c r="D39">
        <f t="shared" si="0"/>
        <v>5.842229002522307E-3</v>
      </c>
      <c r="E39">
        <f t="shared" si="1"/>
        <v>1.6082015284756147E-2</v>
      </c>
    </row>
    <row r="40" spans="1:5">
      <c r="A40" s="2">
        <v>45435</v>
      </c>
      <c r="B40">
        <v>19216.349609375</v>
      </c>
      <c r="C40">
        <v>1165.20629882812</v>
      </c>
      <c r="D40">
        <f t="shared" si="0"/>
        <v>-5.2310755695182121E-3</v>
      </c>
      <c r="E40">
        <f t="shared" si="1"/>
        <v>4.2484004978837536E-3</v>
      </c>
    </row>
    <row r="41" spans="1:5">
      <c r="A41" s="2">
        <v>45436</v>
      </c>
      <c r="B41">
        <v>19119.5</v>
      </c>
      <c r="C41">
        <v>1158.89392089843</v>
      </c>
      <c r="D41">
        <f t="shared" si="0"/>
        <v>-5.0399587509456214E-3</v>
      </c>
      <c r="E41">
        <f t="shared" si="1"/>
        <v>-5.4173908397496078E-3</v>
      </c>
    </row>
    <row r="42" spans="1:5">
      <c r="A42" s="2">
        <v>45439</v>
      </c>
      <c r="B42">
        <v>19111.94921875</v>
      </c>
      <c r="C42">
        <v>1160.26696777343</v>
      </c>
      <c r="D42">
        <f t="shared" si="0"/>
        <v>-3.9492566489709459E-4</v>
      </c>
      <c r="E42">
        <f t="shared" si="1"/>
        <v>1.1847908166914434E-3</v>
      </c>
    </row>
    <row r="43" spans="1:5">
      <c r="A43" s="2">
        <v>45440</v>
      </c>
      <c r="B43">
        <v>19215.75</v>
      </c>
      <c r="C43">
        <v>1178.56201171875</v>
      </c>
      <c r="D43">
        <f t="shared" si="0"/>
        <v>5.4311980458887485E-3</v>
      </c>
      <c r="E43">
        <f t="shared" si="1"/>
        <v>1.5767960696518382E-2</v>
      </c>
    </row>
    <row r="44" spans="1:5">
      <c r="A44" s="2">
        <v>45441</v>
      </c>
      <c r="B44">
        <v>19321.349609375</v>
      </c>
      <c r="C44">
        <v>1185.56579589843</v>
      </c>
      <c r="D44">
        <f t="shared" si="0"/>
        <v>5.4954716508593213E-3</v>
      </c>
      <c r="E44">
        <f t="shared" si="1"/>
        <v>5.9426522406454138E-3</v>
      </c>
    </row>
    <row r="45" spans="1:5">
      <c r="A45" s="2">
        <v>45442</v>
      </c>
      <c r="B45">
        <v>18971</v>
      </c>
      <c r="C45">
        <v>1160.47448730468</v>
      </c>
      <c r="D45">
        <f t="shared" si="0"/>
        <v>-1.8132771077492706E-2</v>
      </c>
      <c r="E45">
        <f t="shared" si="1"/>
        <v>-2.1163995014494858E-2</v>
      </c>
    </row>
    <row r="46" spans="1:5">
      <c r="A46" s="2">
        <v>45443</v>
      </c>
      <c r="B46">
        <v>18796.30078125</v>
      </c>
      <c r="C46">
        <v>1144.29345703125</v>
      </c>
      <c r="D46">
        <f t="shared" si="0"/>
        <v>-9.2087511860207694E-3</v>
      </c>
      <c r="E46">
        <f t="shared" si="1"/>
        <v>-1.3943460584826888E-2</v>
      </c>
    </row>
    <row r="47" spans="1:5">
      <c r="A47" s="2">
        <v>45446</v>
      </c>
      <c r="B47">
        <v>18864.150390625</v>
      </c>
      <c r="C47">
        <v>1142.60424804687</v>
      </c>
      <c r="D47">
        <f t="shared" si="0"/>
        <v>3.6097320512492796E-3</v>
      </c>
      <c r="E47">
        <f t="shared" si="1"/>
        <v>-1.4762026069453187E-3</v>
      </c>
    </row>
    <row r="48" spans="1:5">
      <c r="A48" s="2">
        <v>45447</v>
      </c>
      <c r="B48">
        <v>18603.150390625</v>
      </c>
      <c r="C48">
        <v>1132.23193359375</v>
      </c>
      <c r="D48">
        <f t="shared" si="0"/>
        <v>-1.3835767558856524E-2</v>
      </c>
      <c r="E48">
        <f t="shared" si="1"/>
        <v>-9.0777839053636372E-3</v>
      </c>
    </row>
    <row r="49" spans="1:5">
      <c r="A49" s="2">
        <v>45448</v>
      </c>
      <c r="B49">
        <v>19281.25</v>
      </c>
      <c r="C49">
        <v>1150.67492675781</v>
      </c>
      <c r="D49">
        <f t="shared" si="0"/>
        <v>3.6450794362052043E-2</v>
      </c>
      <c r="E49">
        <f t="shared" si="1"/>
        <v>1.6289059349811123E-2</v>
      </c>
    </row>
    <row r="50" spans="1:5">
      <c r="A50" s="2">
        <v>45449</v>
      </c>
      <c r="B50">
        <v>19232.099609375</v>
      </c>
      <c r="C50">
        <v>1163.87255859375</v>
      </c>
      <c r="D50">
        <f t="shared" si="0"/>
        <v>-2.5491288492706645E-3</v>
      </c>
      <c r="E50">
        <f t="shared" si="1"/>
        <v>1.1469470246584935E-2</v>
      </c>
    </row>
    <row r="51" spans="1:5">
      <c r="A51" s="2">
        <v>45450</v>
      </c>
      <c r="B51">
        <v>19578</v>
      </c>
      <c r="C51">
        <v>1197.52868652343</v>
      </c>
      <c r="D51">
        <f t="shared" si="0"/>
        <v>1.7985576075967558E-2</v>
      </c>
      <c r="E51">
        <f t="shared" si="1"/>
        <v>2.8917365291561681E-2</v>
      </c>
    </row>
    <row r="52" spans="1:5">
      <c r="A52" s="2">
        <v>45453</v>
      </c>
      <c r="B52">
        <v>19774.69921875</v>
      </c>
      <c r="C52">
        <v>1206.38952636718</v>
      </c>
      <c r="D52">
        <f t="shared" si="0"/>
        <v>1.0046951616610482E-2</v>
      </c>
      <c r="E52">
        <f t="shared" si="1"/>
        <v>7.3992714692072093E-3</v>
      </c>
    </row>
    <row r="53" spans="1:5">
      <c r="A53" s="2">
        <v>45454</v>
      </c>
      <c r="B53">
        <v>19689.69921875</v>
      </c>
      <c r="C53">
        <v>1193.17224121093</v>
      </c>
      <c r="D53">
        <f t="shared" si="0"/>
        <v>-4.2984218905036285E-3</v>
      </c>
      <c r="E53">
        <f t="shared" si="1"/>
        <v>-1.0956067561404832E-2</v>
      </c>
    </row>
    <row r="54" spans="1:5">
      <c r="A54" s="2">
        <v>45455</v>
      </c>
      <c r="B54">
        <v>19739.099609375</v>
      </c>
      <c r="C54">
        <v>1197.28161621093</v>
      </c>
      <c r="D54">
        <f t="shared" si="0"/>
        <v>2.5089459252865204E-3</v>
      </c>
      <c r="E54">
        <f t="shared" si="1"/>
        <v>3.4440752626204796E-3</v>
      </c>
    </row>
    <row r="55" spans="1:5">
      <c r="A55" s="2">
        <v>45456</v>
      </c>
      <c r="B55">
        <v>19838.5</v>
      </c>
      <c r="C55">
        <v>1204.35473632812</v>
      </c>
      <c r="D55">
        <f t="shared" si="0"/>
        <v>5.0357104727203573E-3</v>
      </c>
      <c r="E55">
        <f t="shared" si="1"/>
        <v>5.9076494798061784E-3</v>
      </c>
    </row>
    <row r="56" spans="1:5">
      <c r="A56" s="2">
        <v>45457</v>
      </c>
      <c r="B56">
        <v>19895.650390625</v>
      </c>
      <c r="C56">
        <v>1202.26049804687</v>
      </c>
      <c r="D56">
        <f t="shared" si="0"/>
        <v>2.8807818446455126E-3</v>
      </c>
      <c r="E56">
        <f t="shared" si="1"/>
        <v>-1.7388882345703135E-3</v>
      </c>
    </row>
    <row r="57" spans="1:5">
      <c r="A57" s="2">
        <v>45461</v>
      </c>
      <c r="B57">
        <v>19826.650390625</v>
      </c>
      <c r="C57">
        <v>1183.68896484375</v>
      </c>
      <c r="D57">
        <f t="shared" si="0"/>
        <v>-3.4680947164468364E-3</v>
      </c>
      <c r="E57">
        <f t="shared" si="1"/>
        <v>-1.544717907083394E-2</v>
      </c>
    </row>
    <row r="58" spans="1:5">
      <c r="A58" s="2">
        <v>45462</v>
      </c>
      <c r="B58">
        <v>19644.5</v>
      </c>
      <c r="C58">
        <v>1176.76403808593</v>
      </c>
      <c r="D58">
        <f t="shared" si="0"/>
        <v>-9.1871489654717226E-3</v>
      </c>
      <c r="E58">
        <f t="shared" si="1"/>
        <v>-5.8502925713547656E-3</v>
      </c>
    </row>
    <row r="59" spans="1:5">
      <c r="A59" s="2">
        <v>45463</v>
      </c>
      <c r="B59">
        <v>19544.55078125</v>
      </c>
      <c r="C59">
        <v>1179.64868164062</v>
      </c>
      <c r="D59">
        <f t="shared" si="0"/>
        <v>-5.0878983303214642E-3</v>
      </c>
      <c r="E59">
        <f t="shared" si="1"/>
        <v>2.4513355790359032E-3</v>
      </c>
    </row>
    <row r="60" spans="1:5">
      <c r="A60" s="2">
        <v>45464</v>
      </c>
      <c r="B60">
        <v>19528.400390625</v>
      </c>
      <c r="C60">
        <v>1187.67980957031</v>
      </c>
      <c r="D60">
        <f t="shared" si="0"/>
        <v>-8.2633726432299601E-4</v>
      </c>
      <c r="E60">
        <f t="shared" si="1"/>
        <v>6.8080675667950129E-3</v>
      </c>
    </row>
    <row r="61" spans="1:5">
      <c r="A61" s="2">
        <v>45467</v>
      </c>
      <c r="B61">
        <v>19521.150390625</v>
      </c>
      <c r="C61">
        <v>1196.27404785156</v>
      </c>
      <c r="D61">
        <f t="shared" si="0"/>
        <v>-3.7125416598281691E-4</v>
      </c>
      <c r="E61">
        <f t="shared" si="1"/>
        <v>7.2361576007251519E-3</v>
      </c>
    </row>
    <row r="62" spans="1:5">
      <c r="A62" s="2">
        <v>45468</v>
      </c>
      <c r="B62">
        <v>19532.30078125</v>
      </c>
      <c r="C62">
        <v>1200.90710449218</v>
      </c>
      <c r="D62">
        <f t="shared" si="0"/>
        <v>5.7119536512330522E-4</v>
      </c>
      <c r="E62">
        <f t="shared" si="1"/>
        <v>3.8729057517720988E-3</v>
      </c>
    </row>
    <row r="63" spans="1:5">
      <c r="A63" s="2">
        <v>45469</v>
      </c>
      <c r="B63">
        <v>19545.349609375</v>
      </c>
      <c r="C63">
        <v>1199.25744628906</v>
      </c>
      <c r="D63">
        <f t="shared" si="0"/>
        <v>6.6806405815367134E-4</v>
      </c>
      <c r="E63">
        <f t="shared" si="1"/>
        <v>-1.3736767789525055E-3</v>
      </c>
    </row>
    <row r="64" spans="1:5">
      <c r="A64" s="2">
        <v>45470</v>
      </c>
      <c r="B64">
        <v>19514.80078125</v>
      </c>
      <c r="C64">
        <v>1232.02429199218</v>
      </c>
      <c r="D64">
        <f t="shared" si="0"/>
        <v>-1.5629716907364574E-3</v>
      </c>
      <c r="E64">
        <f t="shared" si="1"/>
        <v>2.7322611841612967E-2</v>
      </c>
    </row>
    <row r="65" spans="1:5">
      <c r="A65" s="2">
        <v>45471</v>
      </c>
      <c r="B65">
        <v>19731.55078125</v>
      </c>
      <c r="C65">
        <v>1264.90979003906</v>
      </c>
      <c r="D65">
        <f t="shared" si="0"/>
        <v>1.1106954276891998E-2</v>
      </c>
      <c r="E65">
        <f t="shared" si="1"/>
        <v>2.6692248083602509E-2</v>
      </c>
    </row>
    <row r="66" spans="1:5">
      <c r="A66" s="2">
        <v>45474</v>
      </c>
      <c r="B66">
        <v>19758.25</v>
      </c>
      <c r="C66">
        <v>1255.29797363281</v>
      </c>
      <c r="D66">
        <f t="shared" si="0"/>
        <v>1.353123180534348E-3</v>
      </c>
      <c r="E66">
        <f t="shared" si="1"/>
        <v>-7.5988157273675543E-3</v>
      </c>
    </row>
    <row r="67" spans="1:5">
      <c r="A67" s="2">
        <v>45475</v>
      </c>
      <c r="B67">
        <v>19786.400390625</v>
      </c>
      <c r="C67">
        <v>1258.56774902343</v>
      </c>
      <c r="D67">
        <f t="shared" si="0"/>
        <v>1.4247410891652854E-3</v>
      </c>
      <c r="E67">
        <f t="shared" si="1"/>
        <v>2.6047802667579605E-3</v>
      </c>
    </row>
    <row r="68" spans="1:5">
      <c r="A68" s="2">
        <v>45476</v>
      </c>
      <c r="B68">
        <v>19915.30078125</v>
      </c>
      <c r="C68">
        <v>1269.5625</v>
      </c>
      <c r="D68">
        <f t="shared" si="0"/>
        <v>6.514595281619507E-3</v>
      </c>
      <c r="E68">
        <f t="shared" si="1"/>
        <v>8.73592302448656E-3</v>
      </c>
    </row>
    <row r="69" spans="1:5">
      <c r="A69" s="2">
        <v>45477</v>
      </c>
      <c r="B69">
        <v>20192.599609375</v>
      </c>
      <c r="C69">
        <v>1280.12255859375</v>
      </c>
      <c r="D69">
        <f t="shared" si="0"/>
        <v>1.3923908615333255E-2</v>
      </c>
      <c r="E69">
        <f t="shared" si="1"/>
        <v>8.317872175454143E-3</v>
      </c>
    </row>
    <row r="70" spans="1:5">
      <c r="A70" s="2">
        <v>45478</v>
      </c>
      <c r="B70">
        <v>20453.849609375</v>
      </c>
      <c r="C70">
        <v>1288.15380859375</v>
      </c>
      <c r="D70">
        <f t="shared" si="0"/>
        <v>1.2937908196758732E-2</v>
      </c>
      <c r="E70">
        <f t="shared" si="1"/>
        <v>6.273813351764186E-3</v>
      </c>
    </row>
    <row r="71" spans="1:5">
      <c r="A71" s="2">
        <v>45481</v>
      </c>
      <c r="B71">
        <v>20325.80078125</v>
      </c>
      <c r="C71">
        <v>1290.94934082031</v>
      </c>
      <c r="D71">
        <f t="shared" si="0"/>
        <v>-6.2603779029600844E-3</v>
      </c>
      <c r="E71">
        <f t="shared" si="1"/>
        <v>2.1701851191293854E-3</v>
      </c>
    </row>
    <row r="72" spans="1:5">
      <c r="A72" s="2">
        <v>45482</v>
      </c>
      <c r="B72">
        <v>20645.80078125</v>
      </c>
      <c r="C72">
        <v>1300.57104492187</v>
      </c>
      <c r="D72">
        <f t="shared" ref="D72:D135" si="2">(B72-B71)/B71</f>
        <v>1.5743537164606636E-2</v>
      </c>
      <c r="E72">
        <f t="shared" ref="E72:E135" si="3">(C72-C71)/C71</f>
        <v>7.4532003676039404E-3</v>
      </c>
    </row>
    <row r="73" spans="1:5">
      <c r="A73" s="2">
        <v>45483</v>
      </c>
      <c r="B73">
        <v>20725.94921875</v>
      </c>
      <c r="C73">
        <v>1302.48742675781</v>
      </c>
      <c r="D73">
        <f t="shared" si="2"/>
        <v>3.8820696929706311E-3</v>
      </c>
      <c r="E73">
        <f t="shared" si="3"/>
        <v>1.4734926195862873E-3</v>
      </c>
    </row>
    <row r="74" spans="1:5">
      <c r="A74" s="2">
        <v>45484</v>
      </c>
      <c r="B74">
        <v>20601.69921875</v>
      </c>
      <c r="C74">
        <v>1302.92211914062</v>
      </c>
      <c r="D74">
        <f t="shared" si="2"/>
        <v>-5.9949003391167061E-3</v>
      </c>
      <c r="E74">
        <f t="shared" si="3"/>
        <v>3.3374017582039005E-4</v>
      </c>
    </row>
    <row r="75" spans="1:5">
      <c r="A75" s="2">
        <v>45485</v>
      </c>
      <c r="B75">
        <v>20612.650390625</v>
      </c>
      <c r="C75">
        <v>1327.55908203125</v>
      </c>
      <c r="D75">
        <f t="shared" si="2"/>
        <v>5.3156643822045171E-4</v>
      </c>
      <c r="E75">
        <f t="shared" si="3"/>
        <v>1.8909006554344188E-2</v>
      </c>
    </row>
    <row r="76" spans="1:5">
      <c r="A76" s="2">
        <v>45488</v>
      </c>
      <c r="B76">
        <v>20844.55078125</v>
      </c>
      <c r="C76">
        <v>1342.43603515625</v>
      </c>
      <c r="D76">
        <f t="shared" si="2"/>
        <v>1.125039168812917E-2</v>
      </c>
      <c r="E76">
        <f t="shared" si="3"/>
        <v>1.1206245602446043E-2</v>
      </c>
    </row>
    <row r="77" spans="1:5">
      <c r="A77" s="2">
        <v>45489</v>
      </c>
      <c r="B77">
        <v>20765.44921875</v>
      </c>
      <c r="C77">
        <v>1320.8330078125</v>
      </c>
      <c r="D77">
        <f t="shared" si="2"/>
        <v>-3.7948317202956034E-3</v>
      </c>
      <c r="E77">
        <f t="shared" si="3"/>
        <v>-1.6092407219414042E-2</v>
      </c>
    </row>
    <row r="78" spans="1:5">
      <c r="A78" s="2">
        <v>45491</v>
      </c>
      <c r="B78">
        <v>20768.349609375</v>
      </c>
      <c r="C78">
        <v>1325.09606933593</v>
      </c>
      <c r="D78">
        <f t="shared" si="2"/>
        <v>1.3967386857112221E-4</v>
      </c>
      <c r="E78">
        <f t="shared" si="3"/>
        <v>3.2275552611228833E-3</v>
      </c>
    </row>
    <row r="79" spans="1:5">
      <c r="A79" s="2">
        <v>45492</v>
      </c>
      <c r="B79">
        <v>20425.400390625</v>
      </c>
      <c r="C79">
        <v>1318.83569335937</v>
      </c>
      <c r="D79">
        <f t="shared" si="2"/>
        <v>-1.6513070378745453E-2</v>
      </c>
      <c r="E79">
        <f t="shared" si="3"/>
        <v>-4.7244695093672543E-3</v>
      </c>
    </row>
    <row r="80" spans="1:5">
      <c r="A80" s="2">
        <v>45495</v>
      </c>
      <c r="B80">
        <v>20641.55078125</v>
      </c>
      <c r="C80">
        <v>1345.64575195312</v>
      </c>
      <c r="D80">
        <f t="shared" si="2"/>
        <v>1.0582431016833838E-2</v>
      </c>
      <c r="E80">
        <f t="shared" si="3"/>
        <v>2.0328581284798846E-2</v>
      </c>
    </row>
    <row r="81" spans="1:5">
      <c r="A81" s="2">
        <v>45496</v>
      </c>
      <c r="B81">
        <v>20755.349609375</v>
      </c>
      <c r="C81">
        <v>1364.34716796875</v>
      </c>
      <c r="D81">
        <f t="shared" si="2"/>
        <v>5.5130948895744077E-3</v>
      </c>
      <c r="E81">
        <f t="shared" si="3"/>
        <v>1.3897726046016252E-2</v>
      </c>
    </row>
    <row r="82" spans="1:5">
      <c r="A82" s="2">
        <v>45497</v>
      </c>
      <c r="B82">
        <v>20908.5</v>
      </c>
      <c r="C82">
        <v>1355.43371582031</v>
      </c>
      <c r="D82">
        <f t="shared" si="2"/>
        <v>7.3788393598450096E-3</v>
      </c>
      <c r="E82">
        <f t="shared" si="3"/>
        <v>-6.5331261409883037E-3</v>
      </c>
    </row>
    <row r="83" spans="1:5">
      <c r="A83" s="2">
        <v>45498</v>
      </c>
      <c r="B83">
        <v>21105.5</v>
      </c>
      <c r="C83">
        <v>1362.001953125</v>
      </c>
      <c r="D83">
        <f t="shared" si="2"/>
        <v>9.4220054045005622E-3</v>
      </c>
      <c r="E83">
        <f t="shared" si="3"/>
        <v>4.8458565166463316E-3</v>
      </c>
    </row>
    <row r="84" spans="1:5">
      <c r="A84" s="2">
        <v>45499</v>
      </c>
      <c r="B84">
        <v>21603.099609375</v>
      </c>
      <c r="C84">
        <v>1367.05993652343</v>
      </c>
      <c r="D84">
        <f t="shared" si="2"/>
        <v>2.3576774270924642E-2</v>
      </c>
      <c r="E84">
        <f t="shared" si="3"/>
        <v>3.7136388731490986E-3</v>
      </c>
    </row>
    <row r="85" spans="1:5">
      <c r="A85" s="2">
        <v>45502</v>
      </c>
      <c r="B85">
        <v>21674.94921875</v>
      </c>
      <c r="C85">
        <v>1359.38854980468</v>
      </c>
      <c r="D85">
        <f t="shared" si="2"/>
        <v>3.3258935372320253E-3</v>
      </c>
      <c r="E85">
        <f t="shared" si="3"/>
        <v>-5.6115950104273426E-3</v>
      </c>
    </row>
    <row r="86" spans="1:5">
      <c r="A86" s="2">
        <v>45503</v>
      </c>
      <c r="B86">
        <v>21540.80078125</v>
      </c>
      <c r="C86">
        <v>1352.25378417968</v>
      </c>
      <c r="D86">
        <f t="shared" si="2"/>
        <v>-6.1891004286162002E-3</v>
      </c>
      <c r="E86">
        <f t="shared" si="3"/>
        <v>-5.2485109029534929E-3</v>
      </c>
    </row>
    <row r="87" spans="1:5">
      <c r="A87" s="2">
        <v>45504</v>
      </c>
      <c r="B87">
        <v>21777.150390625</v>
      </c>
      <c r="C87">
        <v>1341.59143066406</v>
      </c>
      <c r="D87">
        <f t="shared" si="2"/>
        <v>1.0972183057406503E-2</v>
      </c>
      <c r="E87">
        <f t="shared" si="3"/>
        <v>-7.8848760790032613E-3</v>
      </c>
    </row>
    <row r="88" spans="1:5">
      <c r="A88" s="2">
        <v>45505</v>
      </c>
      <c r="B88">
        <v>21790.349609375</v>
      </c>
      <c r="C88">
        <v>1368.908203125</v>
      </c>
      <c r="D88">
        <f t="shared" si="2"/>
        <v>6.061040362600529E-4</v>
      </c>
      <c r="E88">
        <f t="shared" si="3"/>
        <v>2.0361469100483719E-2</v>
      </c>
    </row>
    <row r="89" spans="1:5">
      <c r="A89" s="2">
        <v>45506</v>
      </c>
      <c r="B89">
        <v>21902.849609375</v>
      </c>
      <c r="C89">
        <v>1384.05212402343</v>
      </c>
      <c r="D89">
        <f t="shared" si="2"/>
        <v>5.1628359350231997E-3</v>
      </c>
      <c r="E89">
        <f t="shared" si="3"/>
        <v>1.1062773138373217E-2</v>
      </c>
    </row>
    <row r="90" spans="1:5">
      <c r="A90" s="2">
        <v>45509</v>
      </c>
      <c r="B90">
        <v>21583.05078125</v>
      </c>
      <c r="C90">
        <v>1353.82385253906</v>
      </c>
      <c r="D90">
        <f t="shared" si="2"/>
        <v>-1.4600786373847796E-2</v>
      </c>
      <c r="E90">
        <f t="shared" si="3"/>
        <v>-2.184041407089252E-2</v>
      </c>
    </row>
    <row r="91" spans="1:5">
      <c r="A91" s="2">
        <v>45510</v>
      </c>
      <c r="B91">
        <v>21562.55078125</v>
      </c>
      <c r="C91">
        <v>1352.89965820312</v>
      </c>
      <c r="D91">
        <f t="shared" si="2"/>
        <v>-9.4981938409787337E-4</v>
      </c>
      <c r="E91">
        <f t="shared" si="3"/>
        <v>-6.8265478866153797E-4</v>
      </c>
    </row>
    <row r="92" spans="1:5">
      <c r="A92" s="2">
        <v>45511</v>
      </c>
      <c r="B92">
        <v>22036.94921875</v>
      </c>
      <c r="C92">
        <v>1376.53979492187</v>
      </c>
      <c r="D92">
        <f t="shared" si="2"/>
        <v>2.2001035142489699E-2</v>
      </c>
      <c r="E92">
        <f t="shared" si="3"/>
        <v>1.7473680753344344E-2</v>
      </c>
    </row>
    <row r="93" spans="1:5">
      <c r="A93" s="2">
        <v>45512</v>
      </c>
      <c r="B93">
        <v>22114.25</v>
      </c>
      <c r="C93">
        <v>1378.91479492187</v>
      </c>
      <c r="D93">
        <f t="shared" si="2"/>
        <v>3.5077805227335694E-3</v>
      </c>
      <c r="E93">
        <f t="shared" si="3"/>
        <v>1.7253406031278601E-3</v>
      </c>
    </row>
    <row r="94" spans="1:5">
      <c r="A94" s="2">
        <v>45513</v>
      </c>
      <c r="B94">
        <v>22209.55078125</v>
      </c>
      <c r="C94">
        <v>1393.85986328125</v>
      </c>
      <c r="D94">
        <f t="shared" si="2"/>
        <v>4.3094738121347096E-3</v>
      </c>
      <c r="E94">
        <f t="shared" si="3"/>
        <v>1.0838282694781586E-2</v>
      </c>
    </row>
    <row r="95" spans="1:5">
      <c r="A95" s="2">
        <v>45516</v>
      </c>
      <c r="B95">
        <v>22205.599609375</v>
      </c>
      <c r="C95">
        <v>1368.63000488281</v>
      </c>
      <c r="D95">
        <f t="shared" si="2"/>
        <v>-1.7790417797804823E-4</v>
      </c>
      <c r="E95">
        <f t="shared" si="3"/>
        <v>-1.8100713753997504E-2</v>
      </c>
    </row>
    <row r="96" spans="1:5">
      <c r="A96" s="2">
        <v>45517</v>
      </c>
      <c r="B96">
        <v>22191.599609375</v>
      </c>
      <c r="C96">
        <v>1380.92199707031</v>
      </c>
      <c r="D96">
        <f t="shared" si="2"/>
        <v>-6.304716038421826E-4</v>
      </c>
      <c r="E96">
        <f t="shared" si="3"/>
        <v>8.9812382774353324E-3</v>
      </c>
    </row>
    <row r="97" spans="1:5">
      <c r="A97" s="2">
        <v>45518</v>
      </c>
      <c r="B97">
        <v>22012.69921875</v>
      </c>
      <c r="C97">
        <v>1351.6376953125</v>
      </c>
      <c r="D97">
        <f t="shared" si="2"/>
        <v>-8.061626641345054E-3</v>
      </c>
      <c r="E97">
        <f t="shared" si="3"/>
        <v>-2.1206340271165209E-2</v>
      </c>
    </row>
    <row r="98" spans="1:5">
      <c r="A98" s="2">
        <v>45520</v>
      </c>
      <c r="B98">
        <v>22106.5</v>
      </c>
      <c r="C98">
        <v>1350.15710449218</v>
      </c>
      <c r="D98">
        <f t="shared" si="2"/>
        <v>4.2612121447651577E-3</v>
      </c>
      <c r="E98">
        <f t="shared" si="3"/>
        <v>-1.095405096687311E-3</v>
      </c>
    </row>
    <row r="99" spans="1:5">
      <c r="A99" s="2">
        <v>45523</v>
      </c>
      <c r="B99">
        <v>22237.849609375</v>
      </c>
      <c r="C99">
        <v>1373.55871582031</v>
      </c>
      <c r="D99">
        <f t="shared" si="2"/>
        <v>5.9416736876031937E-3</v>
      </c>
      <c r="E99">
        <f t="shared" si="3"/>
        <v>1.7332509861459268E-2</v>
      </c>
    </row>
    <row r="100" spans="1:5">
      <c r="A100" s="2">
        <v>45524</v>
      </c>
      <c r="B100">
        <v>22374.25</v>
      </c>
      <c r="C100">
        <v>1384.29052734375</v>
      </c>
      <c r="D100">
        <f t="shared" si="2"/>
        <v>6.1337041584945571E-3</v>
      </c>
      <c r="E100">
        <f t="shared" si="3"/>
        <v>7.8131436245379594E-3</v>
      </c>
    </row>
    <row r="101" spans="1:5">
      <c r="A101" s="2">
        <v>45525</v>
      </c>
      <c r="B101">
        <v>22577.900390625</v>
      </c>
      <c r="C101">
        <v>1403.58825683593</v>
      </c>
      <c r="D101">
        <f t="shared" si="2"/>
        <v>9.1019985306770058E-3</v>
      </c>
      <c r="E101">
        <f t="shared" si="3"/>
        <v>1.3940519790458657E-2</v>
      </c>
    </row>
    <row r="102" spans="1:5">
      <c r="A102" s="2">
        <v>45526</v>
      </c>
      <c r="B102">
        <v>22546.099609375</v>
      </c>
      <c r="C102">
        <v>1385.02600097656</v>
      </c>
      <c r="D102">
        <f t="shared" si="2"/>
        <v>-1.4084915204606275E-3</v>
      </c>
      <c r="E102">
        <f t="shared" si="3"/>
        <v>-1.3224858336457142E-2</v>
      </c>
    </row>
    <row r="103" spans="1:5">
      <c r="A103" s="2">
        <v>45527</v>
      </c>
      <c r="B103">
        <v>22527.849609375</v>
      </c>
      <c r="C103">
        <v>1382.13427734375</v>
      </c>
      <c r="D103">
        <f t="shared" si="2"/>
        <v>-8.0945264663034584E-4</v>
      </c>
      <c r="E103">
        <f t="shared" si="3"/>
        <v>-2.0878479037729908E-3</v>
      </c>
    </row>
    <row r="104" spans="1:5">
      <c r="A104" s="2">
        <v>45530</v>
      </c>
      <c r="B104">
        <v>22554.94921875</v>
      </c>
      <c r="C104">
        <v>1379.90844726562</v>
      </c>
      <c r="D104">
        <f t="shared" si="2"/>
        <v>1.2029381341272119E-3</v>
      </c>
      <c r="E104">
        <f t="shared" si="3"/>
        <v>-1.6104296916850266E-3</v>
      </c>
    </row>
    <row r="105" spans="1:5">
      <c r="A105" s="2">
        <v>45531</v>
      </c>
      <c r="B105">
        <v>22729</v>
      </c>
      <c r="C105">
        <v>1383.81359863281</v>
      </c>
      <c r="D105">
        <f t="shared" si="2"/>
        <v>7.7167445407197392E-3</v>
      </c>
      <c r="E105">
        <f t="shared" si="3"/>
        <v>2.830007581248102E-3</v>
      </c>
    </row>
    <row r="106" spans="1:5">
      <c r="A106" s="2">
        <v>45532</v>
      </c>
      <c r="B106">
        <v>22989.099609375</v>
      </c>
      <c r="C106">
        <v>1391.03784179687</v>
      </c>
      <c r="D106">
        <f t="shared" si="2"/>
        <v>1.1443513105503981E-2</v>
      </c>
      <c r="E106">
        <f t="shared" si="3"/>
        <v>5.2205319930353758E-3</v>
      </c>
    </row>
    <row r="107" spans="1:5">
      <c r="A107" s="2">
        <v>45533</v>
      </c>
      <c r="B107">
        <v>22878.05078125</v>
      </c>
      <c r="C107">
        <v>1377.49365234375</v>
      </c>
      <c r="D107">
        <f t="shared" si="2"/>
        <v>-4.8304992371129693E-3</v>
      </c>
      <c r="E107">
        <f t="shared" si="3"/>
        <v>-9.7367512558999263E-3</v>
      </c>
    </row>
    <row r="108" spans="1:5">
      <c r="A108" s="2">
        <v>45534</v>
      </c>
      <c r="B108">
        <v>23217.599609375</v>
      </c>
      <c r="C108">
        <v>1397.40747070312</v>
      </c>
      <c r="D108">
        <f t="shared" si="2"/>
        <v>1.4841685219235618E-2</v>
      </c>
      <c r="E108">
        <f t="shared" si="3"/>
        <v>1.4456559074147047E-2</v>
      </c>
    </row>
    <row r="109" spans="1:5">
      <c r="A109" s="2">
        <v>45537</v>
      </c>
      <c r="B109">
        <v>22987.44921875</v>
      </c>
      <c r="C109">
        <v>1365.76818847656</v>
      </c>
      <c r="D109">
        <f t="shared" si="2"/>
        <v>-9.9127556033858002E-3</v>
      </c>
      <c r="E109">
        <f t="shared" si="3"/>
        <v>-2.2641414827015607E-2</v>
      </c>
    </row>
    <row r="110" spans="1:5">
      <c r="A110" s="2">
        <v>45538</v>
      </c>
      <c r="B110">
        <v>23014.30078125</v>
      </c>
      <c r="C110">
        <v>1362.13122558593</v>
      </c>
      <c r="D110">
        <f t="shared" si="2"/>
        <v>1.1680966532858369E-3</v>
      </c>
      <c r="E110">
        <f t="shared" si="3"/>
        <v>-2.6629430391747785E-3</v>
      </c>
    </row>
    <row r="111" spans="1:5">
      <c r="A111" s="2">
        <v>45539</v>
      </c>
      <c r="B111">
        <v>23184.400390625</v>
      </c>
      <c r="C111">
        <v>1348.88513183593</v>
      </c>
      <c r="D111">
        <f t="shared" si="2"/>
        <v>7.3910396406038975E-3</v>
      </c>
      <c r="E111">
        <f t="shared" si="3"/>
        <v>-9.7245357137320625E-3</v>
      </c>
    </row>
    <row r="112" spans="1:5">
      <c r="A112" s="2">
        <v>45540</v>
      </c>
      <c r="B112">
        <v>23156.69921875</v>
      </c>
      <c r="C112">
        <v>1330.71044921875</v>
      </c>
      <c r="D112">
        <f t="shared" si="2"/>
        <v>-1.1948194220369585E-3</v>
      </c>
      <c r="E112">
        <f t="shared" si="3"/>
        <v>-1.347385495490112E-2</v>
      </c>
    </row>
    <row r="113" spans="1:5">
      <c r="A113" s="2">
        <v>45541</v>
      </c>
      <c r="B113">
        <v>23043.400390625</v>
      </c>
      <c r="C113">
        <v>1325.02648925781</v>
      </c>
      <c r="D113">
        <f t="shared" si="2"/>
        <v>-4.8927019803090867E-3</v>
      </c>
      <c r="E113">
        <f t="shared" si="3"/>
        <v>-4.2713724569285608E-3</v>
      </c>
    </row>
    <row r="114" spans="1:5">
      <c r="A114" s="2">
        <v>45544</v>
      </c>
      <c r="B114">
        <v>23009.400390625</v>
      </c>
      <c r="C114">
        <v>1322.79077148437</v>
      </c>
      <c r="D114">
        <f t="shared" si="2"/>
        <v>-1.4754766841543314E-3</v>
      </c>
      <c r="E114">
        <f t="shared" si="3"/>
        <v>-1.6873004363047101E-3</v>
      </c>
    </row>
    <row r="115" spans="1:5">
      <c r="A115" s="2">
        <v>45545</v>
      </c>
      <c r="B115">
        <v>23256.849609375</v>
      </c>
      <c r="C115">
        <v>1321.69750976562</v>
      </c>
      <c r="D115">
        <f t="shared" si="2"/>
        <v>1.0754266280264359E-2</v>
      </c>
      <c r="E115">
        <f t="shared" si="3"/>
        <v>-8.2648121102568326E-4</v>
      </c>
    </row>
    <row r="116" spans="1:5">
      <c r="A116" s="2">
        <v>45546</v>
      </c>
      <c r="B116">
        <v>23220.400390625</v>
      </c>
      <c r="C116">
        <v>1314.16540527343</v>
      </c>
      <c r="D116">
        <f t="shared" si="2"/>
        <v>-1.5672466117382924E-3</v>
      </c>
      <c r="E116">
        <f t="shared" si="3"/>
        <v>-5.6988111398694309E-3</v>
      </c>
    </row>
    <row r="117" spans="1:5">
      <c r="A117" s="2">
        <v>45547</v>
      </c>
      <c r="B117">
        <v>23429.599609375</v>
      </c>
      <c r="C117">
        <v>1328.34545898437</v>
      </c>
      <c r="D117">
        <f t="shared" si="2"/>
        <v>9.0092855950262615E-3</v>
      </c>
      <c r="E117">
        <f t="shared" si="3"/>
        <v>1.0790159027196161E-2</v>
      </c>
    </row>
    <row r="118" spans="1:5">
      <c r="A118" s="2">
        <v>45548</v>
      </c>
      <c r="B118">
        <v>23457.650390625</v>
      </c>
      <c r="C118">
        <v>1323.74462890625</v>
      </c>
      <c r="D118">
        <f t="shared" si="2"/>
        <v>1.1972369019390286E-3</v>
      </c>
      <c r="E118">
        <f t="shared" si="3"/>
        <v>-3.463579483034265E-3</v>
      </c>
    </row>
    <row r="119" spans="1:5">
      <c r="A119" s="2">
        <v>45551</v>
      </c>
      <c r="B119">
        <v>23448.75</v>
      </c>
      <c r="C119">
        <v>1321.04174804687</v>
      </c>
      <c r="D119">
        <f t="shared" si="2"/>
        <v>-3.7942379039620686E-4</v>
      </c>
      <c r="E119">
        <f t="shared" si="3"/>
        <v>-2.0418446280029631E-3</v>
      </c>
    </row>
    <row r="120" spans="1:5">
      <c r="A120" s="2">
        <v>45552</v>
      </c>
      <c r="B120">
        <v>23383.650390625</v>
      </c>
      <c r="C120">
        <v>1317.97119140625</v>
      </c>
      <c r="D120">
        <f t="shared" si="2"/>
        <v>-2.7762507329815024E-3</v>
      </c>
      <c r="E120">
        <f t="shared" si="3"/>
        <v>-2.324344893081347E-3</v>
      </c>
    </row>
    <row r="121" spans="1:5">
      <c r="A121" s="2">
        <v>45553</v>
      </c>
      <c r="B121">
        <v>23025.19921875</v>
      </c>
      <c r="C121">
        <v>1305.28173828125</v>
      </c>
      <c r="D121">
        <f t="shared" si="2"/>
        <v>-1.5329136635514815E-2</v>
      </c>
      <c r="E121">
        <f t="shared" si="3"/>
        <v>-9.6280201022152824E-3</v>
      </c>
    </row>
    <row r="122" spans="1:5">
      <c r="A122" s="2">
        <v>45554</v>
      </c>
      <c r="B122">
        <v>22930.150390625</v>
      </c>
      <c r="C122">
        <v>1292.31396484375</v>
      </c>
      <c r="D122">
        <f t="shared" si="2"/>
        <v>-4.1280349942683378E-3</v>
      </c>
      <c r="E122">
        <f t="shared" si="3"/>
        <v>-9.9348462919396363E-3</v>
      </c>
    </row>
    <row r="123" spans="1:5">
      <c r="A123" s="2">
        <v>45555</v>
      </c>
      <c r="B123">
        <v>23005.25</v>
      </c>
      <c r="C123">
        <v>1301.97265625</v>
      </c>
      <c r="D123">
        <f t="shared" si="2"/>
        <v>3.2751468305111729E-3</v>
      </c>
      <c r="E123">
        <f t="shared" si="3"/>
        <v>7.4739511210171012E-3</v>
      </c>
    </row>
    <row r="124" spans="1:5">
      <c r="A124" s="2">
        <v>45558</v>
      </c>
      <c r="B124">
        <v>23134.25</v>
      </c>
      <c r="C124">
        <v>1322.50256347656</v>
      </c>
      <c r="D124">
        <f t="shared" si="2"/>
        <v>5.6074156985905389E-3</v>
      </c>
      <c r="E124">
        <f t="shared" si="3"/>
        <v>1.5768309056267863E-2</v>
      </c>
    </row>
    <row r="125" spans="1:5">
      <c r="A125" s="2">
        <v>45559</v>
      </c>
      <c r="B125">
        <v>23188.400390625</v>
      </c>
      <c r="C125">
        <v>1321.68762207031</v>
      </c>
      <c r="D125">
        <f t="shared" si="2"/>
        <v>2.3407022326204655E-3</v>
      </c>
      <c r="E125">
        <f t="shared" si="3"/>
        <v>-6.1621158911609475E-4</v>
      </c>
    </row>
    <row r="126" spans="1:5">
      <c r="A126" s="2">
        <v>45560</v>
      </c>
      <c r="B126">
        <v>23249</v>
      </c>
      <c r="C126">
        <v>1329.85595703125</v>
      </c>
      <c r="D126">
        <f t="shared" si="2"/>
        <v>2.6133587636127001E-3</v>
      </c>
      <c r="E126">
        <f t="shared" si="3"/>
        <v>6.1802311109980792E-3</v>
      </c>
    </row>
    <row r="127" spans="1:5">
      <c r="A127" s="2">
        <v>45561</v>
      </c>
      <c r="B127">
        <v>23250.900390625</v>
      </c>
      <c r="C127">
        <v>1340.37915039062</v>
      </c>
      <c r="D127">
        <f t="shared" si="2"/>
        <v>8.1740746913845755E-5</v>
      </c>
      <c r="E127">
        <f t="shared" si="3"/>
        <v>7.9130324632013631E-3</v>
      </c>
    </row>
    <row r="128" spans="1:5">
      <c r="A128" s="2">
        <v>45562</v>
      </c>
      <c r="B128">
        <v>23519.099609375</v>
      </c>
      <c r="C128">
        <v>1341.47216796875</v>
      </c>
      <c r="D128">
        <f t="shared" si="2"/>
        <v>1.1535003558749951E-2</v>
      </c>
      <c r="E128">
        <f t="shared" si="3"/>
        <v>8.1545402866902968E-4</v>
      </c>
    </row>
    <row r="129" spans="1:5">
      <c r="A129" s="2">
        <v>45565</v>
      </c>
      <c r="B129">
        <v>23281.19921875</v>
      </c>
      <c r="C129">
        <v>1341.80993652343</v>
      </c>
      <c r="D129">
        <f t="shared" si="2"/>
        <v>-1.0115199755783594E-2</v>
      </c>
      <c r="E129">
        <f t="shared" si="3"/>
        <v>2.5178946141793163E-4</v>
      </c>
    </row>
    <row r="130" spans="1:5">
      <c r="A130" s="2">
        <v>45566</v>
      </c>
      <c r="B130">
        <v>23296.55078125</v>
      </c>
      <c r="C130">
        <v>1341.31311035156</v>
      </c>
      <c r="D130">
        <f t="shared" si="2"/>
        <v>6.5939741143730679E-4</v>
      </c>
      <c r="E130">
        <f t="shared" si="3"/>
        <v>-3.702656824536956E-4</v>
      </c>
    </row>
    <row r="131" spans="1:5">
      <c r="A131" s="2">
        <v>45568</v>
      </c>
      <c r="B131">
        <v>23178.75</v>
      </c>
      <c r="C131">
        <v>1338.64013671875</v>
      </c>
      <c r="D131">
        <f t="shared" si="2"/>
        <v>-5.0565760724034219E-3</v>
      </c>
      <c r="E131">
        <f t="shared" si="3"/>
        <v>-1.9928036281621139E-3</v>
      </c>
    </row>
    <row r="132" spans="1:5">
      <c r="A132" s="2">
        <v>45569</v>
      </c>
      <c r="B132">
        <v>23094.69921875</v>
      </c>
      <c r="C132">
        <v>1318.28918457031</v>
      </c>
      <c r="D132">
        <f t="shared" si="2"/>
        <v>-3.6261999137140702E-3</v>
      </c>
      <c r="E132">
        <f t="shared" si="3"/>
        <v>-1.5202705783440709E-2</v>
      </c>
    </row>
    <row r="133" spans="1:5">
      <c r="A133" s="2">
        <v>45572</v>
      </c>
      <c r="B133">
        <v>22977.80078125</v>
      </c>
      <c r="C133">
        <v>1313.64868164062</v>
      </c>
      <c r="D133">
        <f t="shared" si="2"/>
        <v>-5.0616999335108522E-3</v>
      </c>
      <c r="E133">
        <f t="shared" si="3"/>
        <v>-3.5200948198649985E-3</v>
      </c>
    </row>
    <row r="134" spans="1:5">
      <c r="A134" s="2">
        <v>45573</v>
      </c>
      <c r="B134">
        <v>23307.94921875</v>
      </c>
      <c r="C134">
        <v>1322.82043457031</v>
      </c>
      <c r="D134">
        <f t="shared" si="2"/>
        <v>1.4368147789382993E-2</v>
      </c>
      <c r="E134">
        <f t="shared" si="3"/>
        <v>6.9818917781239425E-3</v>
      </c>
    </row>
    <row r="135" spans="1:5">
      <c r="A135" s="2">
        <v>45574</v>
      </c>
      <c r="B135">
        <v>23783.80078125</v>
      </c>
      <c r="C135">
        <v>1324.5693359375</v>
      </c>
      <c r="D135">
        <f t="shared" si="2"/>
        <v>2.0415848603153933E-2</v>
      </c>
      <c r="E135">
        <f t="shared" si="3"/>
        <v>1.3221003557887239E-3</v>
      </c>
    </row>
    <row r="136" spans="1:5">
      <c r="A136" s="2">
        <v>45575</v>
      </c>
      <c r="B136">
        <v>23305.150390625</v>
      </c>
      <c r="C136">
        <v>1308.32238769531</v>
      </c>
      <c r="D136">
        <f t="shared" ref="D136:D199" si="4">(B136-B135)/B135</f>
        <v>-2.0125058859488298E-2</v>
      </c>
      <c r="E136">
        <f t="shared" ref="E136:E199" si="5">(C136-C135)/C135</f>
        <v>-1.226583448777393E-2</v>
      </c>
    </row>
    <row r="137" spans="1:5">
      <c r="A137" s="2">
        <v>45576</v>
      </c>
      <c r="B137">
        <v>23582.25</v>
      </c>
      <c r="C137">
        <v>1311.52209472656</v>
      </c>
      <c r="D137">
        <f t="shared" si="4"/>
        <v>1.1890058838087109E-2</v>
      </c>
      <c r="E137">
        <f t="shared" si="5"/>
        <v>2.4456564080405901E-3</v>
      </c>
    </row>
    <row r="138" spans="1:5">
      <c r="A138" s="2">
        <v>45579</v>
      </c>
      <c r="B138">
        <v>23680</v>
      </c>
      <c r="C138">
        <v>1323.58557128906</v>
      </c>
      <c r="D138">
        <f t="shared" si="4"/>
        <v>4.1450667345143064E-3</v>
      </c>
      <c r="E138">
        <f t="shared" si="5"/>
        <v>9.1980734529791674E-3</v>
      </c>
    </row>
    <row r="139" spans="1:5">
      <c r="A139" s="2">
        <v>45580</v>
      </c>
      <c r="B139">
        <v>23555.69921875</v>
      </c>
      <c r="C139">
        <v>1313.99633789062</v>
      </c>
      <c r="D139">
        <f t="shared" si="4"/>
        <v>-5.249188397381757E-3</v>
      </c>
      <c r="E139">
        <f t="shared" si="5"/>
        <v>-7.2448911550923763E-3</v>
      </c>
    </row>
    <row r="140" spans="1:5">
      <c r="A140" s="2">
        <v>45581</v>
      </c>
      <c r="B140">
        <v>23467.349609375</v>
      </c>
      <c r="C140">
        <v>1333.72143554687</v>
      </c>
      <c r="D140">
        <f t="shared" si="4"/>
        <v>-3.7506680890489114E-3</v>
      </c>
      <c r="E140">
        <f t="shared" si="5"/>
        <v>1.5011531681979438E-2</v>
      </c>
    </row>
    <row r="141" spans="1:5">
      <c r="A141" s="2">
        <v>45582</v>
      </c>
      <c r="B141">
        <v>23254</v>
      </c>
      <c r="C141">
        <v>1332.35998535156</v>
      </c>
      <c r="D141">
        <f t="shared" si="4"/>
        <v>-9.0913380899975468E-3</v>
      </c>
      <c r="E141">
        <f t="shared" si="5"/>
        <v>-1.0207905181877498E-3</v>
      </c>
    </row>
    <row r="142" spans="1:5">
      <c r="A142" s="2">
        <v>45583</v>
      </c>
      <c r="B142">
        <v>23356.19921875</v>
      </c>
      <c r="C142">
        <v>1339.72326660156</v>
      </c>
      <c r="D142">
        <f t="shared" si="4"/>
        <v>4.3949092091683153E-3</v>
      </c>
      <c r="E142">
        <f t="shared" si="5"/>
        <v>5.5264953398139654E-3</v>
      </c>
    </row>
    <row r="143" spans="1:5">
      <c r="A143" s="2">
        <v>45586</v>
      </c>
      <c r="B143">
        <v>23122.69921875</v>
      </c>
      <c r="C143">
        <v>1331.03833007812</v>
      </c>
      <c r="D143">
        <f t="shared" si="4"/>
        <v>-9.9973457929982794E-3</v>
      </c>
      <c r="E143">
        <f t="shared" si="5"/>
        <v>-6.4826346902751384E-3</v>
      </c>
    </row>
    <row r="144" spans="1:5">
      <c r="A144" s="2">
        <v>45587</v>
      </c>
      <c r="B144">
        <v>22828.19921875</v>
      </c>
      <c r="C144">
        <v>1324.08239746093</v>
      </c>
      <c r="D144">
        <f t="shared" si="4"/>
        <v>-1.2736402321109314E-2</v>
      </c>
      <c r="E144">
        <f t="shared" si="5"/>
        <v>-5.2259446328504679E-3</v>
      </c>
    </row>
    <row r="145" spans="1:5">
      <c r="A145" s="2">
        <v>45588</v>
      </c>
      <c r="B145">
        <v>22471.599609375</v>
      </c>
      <c r="C145">
        <v>1313.25109863281</v>
      </c>
      <c r="D145">
        <f t="shared" si="4"/>
        <v>-1.562101355248845E-2</v>
      </c>
      <c r="E145">
        <f t="shared" si="5"/>
        <v>-8.1802302099100287E-3</v>
      </c>
    </row>
    <row r="146" spans="1:5">
      <c r="A146" s="2">
        <v>45589</v>
      </c>
      <c r="B146">
        <v>22570.80078125</v>
      </c>
      <c r="C146">
        <v>1308.24291992187</v>
      </c>
      <c r="D146">
        <f t="shared" si="4"/>
        <v>4.4145131454555618E-3</v>
      </c>
      <c r="E146">
        <f t="shared" si="5"/>
        <v>-3.813572831695233E-3</v>
      </c>
    </row>
    <row r="147" spans="1:5">
      <c r="A147" s="2">
        <v>45590</v>
      </c>
      <c r="B147">
        <v>22574.55078125</v>
      </c>
      <c r="C147">
        <v>1294.72863769531</v>
      </c>
      <c r="D147">
        <f t="shared" si="4"/>
        <v>1.6614386154678205E-4</v>
      </c>
      <c r="E147">
        <f t="shared" si="5"/>
        <v>-1.0330101558942196E-2</v>
      </c>
    </row>
    <row r="148" spans="1:5">
      <c r="A148" s="2">
        <v>45593</v>
      </c>
      <c r="B148">
        <v>22857.25</v>
      </c>
      <c r="C148">
        <v>1303.23474121093</v>
      </c>
      <c r="D148">
        <f t="shared" si="4"/>
        <v>1.2522916690098865E-2</v>
      </c>
      <c r="E148">
        <f t="shared" si="5"/>
        <v>6.5697963789241136E-3</v>
      </c>
    </row>
    <row r="149" spans="1:5">
      <c r="A149" s="2">
        <v>45594</v>
      </c>
      <c r="B149">
        <v>22601.400390625</v>
      </c>
      <c r="C149">
        <v>1266.66662597656</v>
      </c>
      <c r="D149">
        <f t="shared" si="4"/>
        <v>-1.1193367941244025E-2</v>
      </c>
      <c r="E149">
        <f t="shared" si="5"/>
        <v>-2.805950001025288E-2</v>
      </c>
    </row>
    <row r="150" spans="1:5">
      <c r="A150" s="2">
        <v>45595</v>
      </c>
      <c r="B150">
        <v>22374.94921875</v>
      </c>
      <c r="C150">
        <v>1241.97314453125</v>
      </c>
      <c r="D150">
        <f t="shared" si="4"/>
        <v>-1.0019342516888083E-2</v>
      </c>
      <c r="E150">
        <f t="shared" si="5"/>
        <v>-1.9494854398861346E-2</v>
      </c>
    </row>
    <row r="151" spans="1:5">
      <c r="A151" s="2">
        <v>45596</v>
      </c>
      <c r="B151">
        <v>22735.55078125</v>
      </c>
      <c r="C151">
        <v>1266.16967773437</v>
      </c>
      <c r="D151">
        <f t="shared" si="4"/>
        <v>1.6116307526535936E-2</v>
      </c>
      <c r="E151">
        <f t="shared" si="5"/>
        <v>1.9482332053365244E-2</v>
      </c>
    </row>
    <row r="152" spans="1:5">
      <c r="A152" s="2">
        <v>45597</v>
      </c>
      <c r="B152">
        <v>22807.150390625</v>
      </c>
      <c r="C152">
        <v>1251.66174316406</v>
      </c>
      <c r="D152">
        <f t="shared" si="4"/>
        <v>3.1492357525839299E-3</v>
      </c>
      <c r="E152">
        <f t="shared" si="5"/>
        <v>-1.1458128263085465E-2</v>
      </c>
    </row>
    <row r="153" spans="1:5">
      <c r="A153" s="2">
        <v>45600</v>
      </c>
      <c r="B153">
        <v>22638.30078125</v>
      </c>
      <c r="C153">
        <v>1260.30700683593</v>
      </c>
      <c r="D153">
        <f t="shared" si="4"/>
        <v>-7.4033628262655084E-3</v>
      </c>
      <c r="E153">
        <f t="shared" si="5"/>
        <v>6.9070287712203653E-3</v>
      </c>
    </row>
    <row r="154" spans="1:5">
      <c r="A154" s="2">
        <v>45601</v>
      </c>
      <c r="B154">
        <v>22661.25</v>
      </c>
      <c r="C154">
        <v>1264.18237304687</v>
      </c>
      <c r="D154">
        <f t="shared" si="4"/>
        <v>1.0137341566292606E-3</v>
      </c>
      <c r="E154">
        <f t="shared" si="5"/>
        <v>3.0749382411745223E-3</v>
      </c>
    </row>
    <row r="155" spans="1:5">
      <c r="A155" s="2">
        <v>45602</v>
      </c>
      <c r="B155">
        <v>22920.349609375</v>
      </c>
      <c r="C155">
        <v>1293.89392089843</v>
      </c>
      <c r="D155">
        <f t="shared" si="4"/>
        <v>1.1433597412984721E-2</v>
      </c>
      <c r="E155">
        <f t="shared" si="5"/>
        <v>2.3502580391111364E-2</v>
      </c>
    </row>
    <row r="156" spans="1:5">
      <c r="A156" s="2">
        <v>45603</v>
      </c>
      <c r="B156">
        <v>22526.94921875</v>
      </c>
      <c r="C156">
        <v>1279.23681640625</v>
      </c>
      <c r="D156">
        <f t="shared" si="4"/>
        <v>-1.716380410114204E-2</v>
      </c>
      <c r="E156">
        <f t="shared" si="5"/>
        <v>-1.1327902740282348E-2</v>
      </c>
    </row>
    <row r="157" spans="1:5">
      <c r="A157" s="2">
        <v>45604</v>
      </c>
      <c r="B157">
        <v>22542.25</v>
      </c>
      <c r="C157">
        <v>1275.56018066406</v>
      </c>
      <c r="D157">
        <f t="shared" si="4"/>
        <v>6.7922118975900217E-4</v>
      </c>
      <c r="E157">
        <f t="shared" si="5"/>
        <v>-2.8740853101138419E-3</v>
      </c>
    </row>
    <row r="158" spans="1:5">
      <c r="A158" s="2">
        <v>45607</v>
      </c>
      <c r="B158">
        <v>22344.25</v>
      </c>
      <c r="C158">
        <v>1279.78344726562</v>
      </c>
      <c r="D158">
        <f t="shared" si="4"/>
        <v>-8.783506526633322E-3</v>
      </c>
      <c r="E158">
        <f t="shared" si="5"/>
        <v>3.3109112886867912E-3</v>
      </c>
    </row>
    <row r="159" spans="1:5">
      <c r="A159" s="2">
        <v>45608</v>
      </c>
      <c r="B159">
        <v>22151.599609375</v>
      </c>
      <c r="C159">
        <v>1255.93469238281</v>
      </c>
      <c r="D159">
        <f t="shared" si="4"/>
        <v>-8.6219224464907079E-3</v>
      </c>
      <c r="E159">
        <f t="shared" si="5"/>
        <v>-1.863499245420399E-2</v>
      </c>
    </row>
    <row r="160" spans="1:5">
      <c r="A160" s="2">
        <v>45609</v>
      </c>
      <c r="B160">
        <v>21809.30078125</v>
      </c>
      <c r="C160">
        <v>1237.15380859375</v>
      </c>
      <c r="D160">
        <f t="shared" si="4"/>
        <v>-1.5452555759455507E-2</v>
      </c>
      <c r="E160">
        <f t="shared" si="5"/>
        <v>-1.4953710493837978E-2</v>
      </c>
    </row>
    <row r="161" spans="1:5">
      <c r="A161" s="2">
        <v>45610</v>
      </c>
      <c r="B161">
        <v>21752</v>
      </c>
      <c r="C161">
        <v>1218.96911621093</v>
      </c>
      <c r="D161">
        <f t="shared" si="4"/>
        <v>-2.627355265752624E-3</v>
      </c>
      <c r="E161">
        <f t="shared" si="5"/>
        <v>-1.4698812917603356E-2</v>
      </c>
    </row>
    <row r="162" spans="1:5">
      <c r="A162" s="2">
        <v>45614</v>
      </c>
      <c r="B162">
        <v>21544.150390625</v>
      </c>
      <c r="C162">
        <v>1186.02807617187</v>
      </c>
      <c r="D162">
        <f t="shared" si="4"/>
        <v>-9.5554252195200438E-3</v>
      </c>
      <c r="E162">
        <f t="shared" si="5"/>
        <v>-2.702368714759127E-2</v>
      </c>
    </row>
    <row r="163" spans="1:5">
      <c r="A163" s="2">
        <v>45615</v>
      </c>
      <c r="B163">
        <v>21768.849609375</v>
      </c>
      <c r="C163">
        <v>1205.80261230468</v>
      </c>
      <c r="D163">
        <f t="shared" si="4"/>
        <v>1.0429708977884712E-2</v>
      </c>
      <c r="E163">
        <f t="shared" si="5"/>
        <v>1.6672907269308545E-2</v>
      </c>
    </row>
    <row r="164" spans="1:5">
      <c r="A164" s="2">
        <v>45617</v>
      </c>
      <c r="B164">
        <v>21740.099609375</v>
      </c>
      <c r="C164">
        <v>1187.81665039062</v>
      </c>
      <c r="D164">
        <f t="shared" si="4"/>
        <v>-1.3206945022771661E-3</v>
      </c>
      <c r="E164">
        <f t="shared" si="5"/>
        <v>-1.4916174281363506E-2</v>
      </c>
    </row>
    <row r="165" spans="1:5">
      <c r="A165" s="2">
        <v>45618</v>
      </c>
      <c r="B165">
        <v>21962.05078125</v>
      </c>
      <c r="C165">
        <v>1206.79626464843</v>
      </c>
      <c r="D165">
        <f t="shared" si="4"/>
        <v>1.0209298754973865E-2</v>
      </c>
      <c r="E165">
        <f t="shared" si="5"/>
        <v>1.5978572325592886E-2</v>
      </c>
    </row>
    <row r="166" spans="1:5">
      <c r="A166" s="2">
        <v>45621</v>
      </c>
      <c r="B166">
        <v>22177.05078125</v>
      </c>
      <c r="C166">
        <v>1201.67883300781</v>
      </c>
      <c r="D166">
        <f t="shared" si="4"/>
        <v>9.7896140092506873E-3</v>
      </c>
      <c r="E166">
        <f t="shared" si="5"/>
        <v>-4.2405100102881361E-3</v>
      </c>
    </row>
    <row r="167" spans="1:5">
      <c r="A167" s="2">
        <v>45622</v>
      </c>
      <c r="B167">
        <v>21961.75</v>
      </c>
      <c r="C167">
        <v>1201.03283691406</v>
      </c>
      <c r="D167">
        <f t="shared" si="4"/>
        <v>-9.7082692993619348E-3</v>
      </c>
      <c r="E167">
        <f t="shared" si="5"/>
        <v>-5.3757799172767949E-4</v>
      </c>
    </row>
    <row r="168" spans="1:5">
      <c r="A168" s="2">
        <v>45623</v>
      </c>
      <c r="B168">
        <v>21828.599609375</v>
      </c>
      <c r="C168">
        <v>1192.33801269531</v>
      </c>
      <c r="D168">
        <f t="shared" si="4"/>
        <v>-6.0628315423406605E-3</v>
      </c>
      <c r="E168">
        <f t="shared" si="5"/>
        <v>-7.2394558679099285E-3</v>
      </c>
    </row>
    <row r="169" spans="1:5">
      <c r="A169" s="2">
        <v>45624</v>
      </c>
      <c r="B169">
        <v>21728.599609375</v>
      </c>
      <c r="C169">
        <v>1184.43811035156</v>
      </c>
      <c r="D169">
        <f t="shared" si="4"/>
        <v>-4.5811459181766181E-3</v>
      </c>
      <c r="E169">
        <f t="shared" si="5"/>
        <v>-6.6255560584637177E-3</v>
      </c>
    </row>
    <row r="170" spans="1:5">
      <c r="A170" s="2">
        <v>45625</v>
      </c>
      <c r="B170">
        <v>22240.19921875</v>
      </c>
      <c r="C170">
        <v>1194.72290039062</v>
      </c>
      <c r="D170">
        <f t="shared" si="4"/>
        <v>2.3544987646339884E-2</v>
      </c>
      <c r="E170">
        <f t="shared" si="5"/>
        <v>8.6832650428710963E-3</v>
      </c>
    </row>
    <row r="171" spans="1:5">
      <c r="A171" s="2">
        <v>45628</v>
      </c>
      <c r="B171">
        <v>22450.19921875</v>
      </c>
      <c r="C171">
        <v>1214.05029296875</v>
      </c>
      <c r="D171">
        <f t="shared" si="4"/>
        <v>9.4423614615356376E-3</v>
      </c>
      <c r="E171">
        <f t="shared" si="5"/>
        <v>1.6177301507998905E-2</v>
      </c>
    </row>
    <row r="172" spans="1:5">
      <c r="A172" s="2">
        <v>45629</v>
      </c>
      <c r="B172">
        <v>22445.69921875</v>
      </c>
      <c r="C172">
        <v>1216.78295898437</v>
      </c>
      <c r="D172">
        <f t="shared" si="4"/>
        <v>-2.0044365558420887E-4</v>
      </c>
      <c r="E172">
        <f t="shared" si="5"/>
        <v>2.2508672263796712E-3</v>
      </c>
    </row>
    <row r="173" spans="1:5">
      <c r="A173" s="2">
        <v>45630</v>
      </c>
      <c r="B173">
        <v>22422.900390625</v>
      </c>
      <c r="C173">
        <v>1207.88940429687</v>
      </c>
      <c r="D173">
        <f t="shared" si="4"/>
        <v>-1.0157325865774328E-3</v>
      </c>
      <c r="E173">
        <f t="shared" si="5"/>
        <v>-7.3090723549607507E-3</v>
      </c>
    </row>
    <row r="174" spans="1:5">
      <c r="A174" s="2">
        <v>45631</v>
      </c>
      <c r="B174">
        <v>22463.400390625</v>
      </c>
      <c r="C174">
        <v>1232.03625488281</v>
      </c>
      <c r="D174">
        <f t="shared" si="4"/>
        <v>1.8061891768886877E-3</v>
      </c>
      <c r="E174">
        <f t="shared" si="5"/>
        <v>1.9990944949133182E-2</v>
      </c>
    </row>
    <row r="175" spans="1:5">
      <c r="A175" s="2">
        <v>45632</v>
      </c>
      <c r="B175">
        <v>22434.75</v>
      </c>
      <c r="C175">
        <v>1245.79895019531</v>
      </c>
      <c r="D175">
        <f t="shared" si="4"/>
        <v>-1.2754253642274531E-3</v>
      </c>
      <c r="E175">
        <f t="shared" si="5"/>
        <v>1.1170690195159146E-2</v>
      </c>
    </row>
    <row r="176" spans="1:5">
      <c r="A176" s="2">
        <v>45635</v>
      </c>
      <c r="B176">
        <v>22309.099609375</v>
      </c>
      <c r="C176">
        <v>1247.23986816406</v>
      </c>
      <c r="D176">
        <f t="shared" si="4"/>
        <v>-5.6007038467110176E-3</v>
      </c>
      <c r="E176">
        <f t="shared" si="5"/>
        <v>1.1566215949404197E-3</v>
      </c>
    </row>
    <row r="177" spans="1:5">
      <c r="A177" s="2">
        <v>45636</v>
      </c>
      <c r="B177">
        <v>22291.44921875</v>
      </c>
      <c r="C177">
        <v>1232.53308105468</v>
      </c>
      <c r="D177">
        <f t="shared" si="4"/>
        <v>-7.9117449534282141E-4</v>
      </c>
      <c r="E177">
        <f t="shared" si="5"/>
        <v>-1.1791466489143285E-2</v>
      </c>
    </row>
    <row r="178" spans="1:5">
      <c r="A178" s="2">
        <v>45637</v>
      </c>
      <c r="B178">
        <v>22302.599609375</v>
      </c>
      <c r="C178">
        <v>1230.74450683593</v>
      </c>
      <c r="D178">
        <f t="shared" si="4"/>
        <v>5.0020931863061977E-4</v>
      </c>
      <c r="E178">
        <f t="shared" si="5"/>
        <v>-1.4511368873113856E-3</v>
      </c>
    </row>
    <row r="179" spans="1:5">
      <c r="A179" s="2">
        <v>45638</v>
      </c>
      <c r="B179">
        <v>22229.30078125</v>
      </c>
      <c r="C179">
        <v>1237.55126953125</v>
      </c>
      <c r="D179">
        <f t="shared" si="4"/>
        <v>-3.2865598364680546E-3</v>
      </c>
      <c r="E179">
        <f t="shared" si="5"/>
        <v>5.5306057898395393E-3</v>
      </c>
    </row>
    <row r="180" spans="1:5">
      <c r="A180" s="2">
        <v>45639</v>
      </c>
      <c r="B180">
        <v>22157.349609375</v>
      </c>
      <c r="C180">
        <v>1238.49523925781</v>
      </c>
      <c r="D180">
        <f t="shared" si="4"/>
        <v>-3.2367717087929942E-3</v>
      </c>
      <c r="E180">
        <f t="shared" si="5"/>
        <v>7.6277221784722376E-4</v>
      </c>
    </row>
    <row r="181" spans="1:5">
      <c r="A181" s="2">
        <v>45642</v>
      </c>
      <c r="B181">
        <v>22255.55078125</v>
      </c>
      <c r="C181">
        <v>1261.94653320312</v>
      </c>
      <c r="D181">
        <f t="shared" si="4"/>
        <v>4.4319909017209386E-3</v>
      </c>
      <c r="E181">
        <f t="shared" si="5"/>
        <v>1.8935312144892538E-2</v>
      </c>
    </row>
    <row r="182" spans="1:5">
      <c r="A182" s="2">
        <v>45643</v>
      </c>
      <c r="B182">
        <v>22074.55078125</v>
      </c>
      <c r="C182">
        <v>1239.787109375</v>
      </c>
      <c r="D182">
        <f t="shared" si="4"/>
        <v>-8.1328025434665961E-3</v>
      </c>
      <c r="E182">
        <f t="shared" si="5"/>
        <v>-1.7559716869996161E-2</v>
      </c>
    </row>
    <row r="183" spans="1:5">
      <c r="A183" s="2">
        <v>45644</v>
      </c>
      <c r="B183">
        <v>22314.55078125</v>
      </c>
      <c r="C183">
        <v>1267.36218261718</v>
      </c>
      <c r="D183">
        <f t="shared" si="4"/>
        <v>1.0872248426629576E-2</v>
      </c>
      <c r="E183">
        <f t="shared" si="5"/>
        <v>2.2241780894206191E-2</v>
      </c>
    </row>
    <row r="184" spans="1:5">
      <c r="A184" s="2">
        <v>45645</v>
      </c>
      <c r="B184">
        <v>22697.900390625</v>
      </c>
      <c r="C184">
        <v>1317.24584960937</v>
      </c>
      <c r="D184">
        <f t="shared" si="4"/>
        <v>1.7179355889033309E-2</v>
      </c>
      <c r="E184">
        <f t="shared" si="5"/>
        <v>3.9360229992958441E-2</v>
      </c>
    </row>
    <row r="185" spans="1:5">
      <c r="A185" s="2">
        <v>45646</v>
      </c>
      <c r="B185">
        <v>22501.849609375</v>
      </c>
      <c r="C185">
        <v>1335.18212890625</v>
      </c>
      <c r="D185">
        <f t="shared" si="4"/>
        <v>-8.6373971986843153E-3</v>
      </c>
      <c r="E185">
        <f t="shared" si="5"/>
        <v>1.3616500900115963E-2</v>
      </c>
    </row>
    <row r="186" spans="1:5">
      <c r="A186" s="2">
        <v>45649</v>
      </c>
      <c r="B186">
        <v>22572.05078125</v>
      </c>
      <c r="C186">
        <v>1332.89660644531</v>
      </c>
      <c r="D186">
        <f t="shared" si="4"/>
        <v>3.1197956209676166E-3</v>
      </c>
      <c r="E186">
        <f t="shared" si="5"/>
        <v>-1.7117683134451835E-3</v>
      </c>
    </row>
    <row r="187" spans="1:5">
      <c r="A187" s="2">
        <v>45650</v>
      </c>
      <c r="B187">
        <v>22558.900390625</v>
      </c>
      <c r="C187">
        <v>1342.38635253906</v>
      </c>
      <c r="D187">
        <f t="shared" si="4"/>
        <v>-5.8259618288311133E-4</v>
      </c>
      <c r="E187">
        <f t="shared" si="5"/>
        <v>7.1196415744940031E-3</v>
      </c>
    </row>
    <row r="188" spans="1:5">
      <c r="A188" s="2">
        <v>45652</v>
      </c>
      <c r="B188">
        <v>22712.55078125</v>
      </c>
      <c r="C188">
        <v>1346.60961914062</v>
      </c>
      <c r="D188">
        <f t="shared" si="4"/>
        <v>6.8110762477081484E-3</v>
      </c>
      <c r="E188">
        <f t="shared" si="5"/>
        <v>3.146088749764098E-3</v>
      </c>
    </row>
    <row r="189" spans="1:5">
      <c r="A189" s="2">
        <v>45653</v>
      </c>
      <c r="B189">
        <v>23008.349609375</v>
      </c>
      <c r="C189">
        <v>1380.693359375</v>
      </c>
      <c r="D189">
        <f t="shared" si="4"/>
        <v>1.3023584667962183E-2</v>
      </c>
      <c r="E189">
        <f t="shared" si="5"/>
        <v>2.5310780310727012E-2</v>
      </c>
    </row>
    <row r="190" spans="1:5">
      <c r="A190" s="2">
        <v>45656</v>
      </c>
      <c r="B190">
        <v>23241.150390625</v>
      </c>
      <c r="C190">
        <v>1368.22253417968</v>
      </c>
      <c r="D190">
        <f t="shared" si="4"/>
        <v>1.0118099959466142E-2</v>
      </c>
      <c r="E190">
        <f t="shared" si="5"/>
        <v>-9.0322917182459588E-3</v>
      </c>
    </row>
    <row r="191" spans="1:5">
      <c r="A191" s="2">
        <v>45657</v>
      </c>
      <c r="B191">
        <v>23412.25</v>
      </c>
      <c r="C191">
        <v>1379.74938964843</v>
      </c>
      <c r="D191">
        <f t="shared" si="4"/>
        <v>7.3619251413655513E-3</v>
      </c>
      <c r="E191">
        <f t="shared" si="5"/>
        <v>8.4246934842810081E-3</v>
      </c>
    </row>
    <row r="192" spans="1:5">
      <c r="A192" s="2">
        <v>45658</v>
      </c>
      <c r="B192">
        <v>23459.75</v>
      </c>
      <c r="C192">
        <v>1360.37231445312</v>
      </c>
      <c r="D192">
        <f t="shared" si="4"/>
        <v>2.0288524170039191E-3</v>
      </c>
      <c r="E192">
        <f t="shared" si="5"/>
        <v>-1.4043909235029571E-2</v>
      </c>
    </row>
    <row r="193" spans="1:5">
      <c r="A193" s="2">
        <v>45659</v>
      </c>
      <c r="B193">
        <v>23553.400390625</v>
      </c>
      <c r="C193">
        <v>1366.38427734375</v>
      </c>
      <c r="D193">
        <f t="shared" si="4"/>
        <v>3.9919602990227945E-3</v>
      </c>
      <c r="E193">
        <f t="shared" si="5"/>
        <v>4.4193511046620032E-3</v>
      </c>
    </row>
    <row r="194" spans="1:5">
      <c r="A194" s="2">
        <v>45660</v>
      </c>
      <c r="B194">
        <v>23263.5</v>
      </c>
      <c r="C194">
        <v>1344.12536621093</v>
      </c>
      <c r="D194">
        <f t="shared" si="4"/>
        <v>-1.2308218168803751E-2</v>
      </c>
      <c r="E194">
        <f t="shared" si="5"/>
        <v>-1.6290374166256734E-2</v>
      </c>
    </row>
    <row r="195" spans="1:5">
      <c r="A195" s="2">
        <v>45663</v>
      </c>
      <c r="B195">
        <v>23073.05078125</v>
      </c>
      <c r="C195">
        <v>1341.83984375</v>
      </c>
      <c r="D195">
        <f t="shared" si="4"/>
        <v>-8.1866107314032717E-3</v>
      </c>
      <c r="E195">
        <f t="shared" si="5"/>
        <v>-1.7003789366559247E-3</v>
      </c>
    </row>
    <row r="196" spans="1:5">
      <c r="A196" s="2">
        <v>45664</v>
      </c>
      <c r="B196">
        <v>23228.55078125</v>
      </c>
      <c r="C196">
        <v>1343.03234863281</v>
      </c>
      <c r="D196">
        <f t="shared" si="4"/>
        <v>6.739464211917956E-3</v>
      </c>
      <c r="E196">
        <f t="shared" si="5"/>
        <v>8.8870880408301251E-4</v>
      </c>
    </row>
    <row r="197" spans="1:5">
      <c r="A197" s="2">
        <v>45665</v>
      </c>
      <c r="B197">
        <v>23011.099609375</v>
      </c>
      <c r="C197">
        <v>1362.111328125</v>
      </c>
      <c r="D197">
        <f t="shared" si="4"/>
        <v>-9.3613748839865545E-3</v>
      </c>
      <c r="E197">
        <f t="shared" si="5"/>
        <v>1.420589720836744E-2</v>
      </c>
    </row>
    <row r="198" spans="1:5">
      <c r="A198" s="2">
        <v>45666</v>
      </c>
      <c r="B198">
        <v>22868.099609375</v>
      </c>
      <c r="C198">
        <v>1362.95593261718</v>
      </c>
      <c r="D198">
        <f t="shared" si="4"/>
        <v>-6.2143922901337608E-3</v>
      </c>
      <c r="E198">
        <f t="shared" si="5"/>
        <v>6.2007008879562593E-4</v>
      </c>
    </row>
    <row r="199" spans="1:5">
      <c r="A199" s="2">
        <v>45667</v>
      </c>
      <c r="B199">
        <v>22380.849609375</v>
      </c>
      <c r="C199">
        <v>1345.86437988281</v>
      </c>
      <c r="D199">
        <f t="shared" si="4"/>
        <v>-2.1306973833551394E-2</v>
      </c>
      <c r="E199">
        <f t="shared" si="5"/>
        <v>-1.2540062613433434E-2</v>
      </c>
    </row>
    <row r="200" spans="1:5">
      <c r="A200" s="2">
        <v>45670</v>
      </c>
      <c r="B200">
        <v>21903.349609375</v>
      </c>
      <c r="C200">
        <v>1326.68591308593</v>
      </c>
      <c r="D200">
        <f t="shared" ref="D200:D252" si="6">(B200-B199)/B199</f>
        <v>-2.1335204352563204E-2</v>
      </c>
      <c r="E200">
        <f t="shared" ref="E200:E252" si="7">(C200-C199)/C199</f>
        <v>-1.4249925240275659E-2</v>
      </c>
    </row>
    <row r="201" spans="1:5">
      <c r="A201" s="2">
        <v>45671</v>
      </c>
      <c r="B201">
        <v>22203.900390625</v>
      </c>
      <c r="C201">
        <v>1329.12060546875</v>
      </c>
      <c r="D201">
        <f t="shared" si="6"/>
        <v>1.3721681231867807E-2</v>
      </c>
      <c r="E201">
        <f t="shared" si="7"/>
        <v>1.8351686399961853E-3</v>
      </c>
    </row>
    <row r="202" spans="1:5">
      <c r="A202" s="2">
        <v>45672</v>
      </c>
      <c r="B202">
        <v>21972.69921875</v>
      </c>
      <c r="C202">
        <v>1328.77270507812</v>
      </c>
      <c r="D202">
        <f t="shared" si="6"/>
        <v>-1.0412637771182691E-2</v>
      </c>
      <c r="E202">
        <f t="shared" si="7"/>
        <v>-2.6175231141443766E-4</v>
      </c>
    </row>
    <row r="203" spans="1:5">
      <c r="A203" s="2">
        <v>45673</v>
      </c>
      <c r="B203">
        <v>21909.75</v>
      </c>
      <c r="C203">
        <v>1294.53979492187</v>
      </c>
      <c r="D203">
        <f t="shared" si="6"/>
        <v>-2.8648832864504622E-3</v>
      </c>
      <c r="E203">
        <f t="shared" si="7"/>
        <v>-2.5762803544521491E-2</v>
      </c>
    </row>
    <row r="204" spans="1:5">
      <c r="A204" s="2">
        <v>45674</v>
      </c>
      <c r="B204">
        <v>22061.69921875</v>
      </c>
      <c r="C204">
        <v>1301.14794921875</v>
      </c>
      <c r="D204">
        <f t="shared" si="6"/>
        <v>6.9352328871849292E-3</v>
      </c>
      <c r="E204">
        <f t="shared" si="7"/>
        <v>5.1046358889869645E-3</v>
      </c>
    </row>
    <row r="205" spans="1:5">
      <c r="A205" s="2">
        <v>45677</v>
      </c>
      <c r="B205">
        <v>22182.400390625</v>
      </c>
      <c r="C205">
        <v>1294.14233398437</v>
      </c>
      <c r="D205">
        <f t="shared" si="6"/>
        <v>5.4710732241520805E-3</v>
      </c>
      <c r="E205">
        <f t="shared" si="7"/>
        <v>-5.3841803605703667E-3</v>
      </c>
    </row>
    <row r="206" spans="1:5">
      <c r="A206" s="2">
        <v>45678</v>
      </c>
      <c r="B206">
        <v>21882.900390625</v>
      </c>
      <c r="C206">
        <v>1280.03186035156</v>
      </c>
      <c r="D206">
        <f t="shared" si="6"/>
        <v>-1.3501694799746666E-2</v>
      </c>
      <c r="E206">
        <f t="shared" si="7"/>
        <v>-1.0903339812219155E-2</v>
      </c>
    </row>
    <row r="207" spans="1:5">
      <c r="A207" s="2">
        <v>45679</v>
      </c>
      <c r="B207">
        <v>22034.94921875</v>
      </c>
      <c r="C207">
        <v>1288.08081054687</v>
      </c>
      <c r="D207">
        <f t="shared" si="6"/>
        <v>6.9482941205609222E-3</v>
      </c>
      <c r="E207">
        <f t="shared" si="7"/>
        <v>6.2880858239726624E-3</v>
      </c>
    </row>
    <row r="208" spans="1:5">
      <c r="A208" s="2">
        <v>45680</v>
      </c>
      <c r="B208">
        <v>22343.30078125</v>
      </c>
      <c r="C208">
        <v>1281.27404785156</v>
      </c>
      <c r="D208">
        <f t="shared" si="6"/>
        <v>1.3993749631045993E-2</v>
      </c>
      <c r="E208">
        <f t="shared" si="7"/>
        <v>-5.284422094930602E-3</v>
      </c>
    </row>
    <row r="209" spans="1:5">
      <c r="A209" s="2">
        <v>45681</v>
      </c>
      <c r="B209">
        <v>21872.400390625</v>
      </c>
      <c r="C209">
        <v>1216.68359375</v>
      </c>
      <c r="D209">
        <f t="shared" si="6"/>
        <v>-2.1075685962217771E-2</v>
      </c>
      <c r="E209">
        <f t="shared" si="7"/>
        <v>-5.0411115568808451E-2</v>
      </c>
    </row>
    <row r="210" spans="1:5">
      <c r="A210" s="2">
        <v>45684</v>
      </c>
      <c r="B210">
        <v>21292.30078125</v>
      </c>
      <c r="C210">
        <v>1190.10217285156</v>
      </c>
      <c r="D210">
        <f t="shared" si="6"/>
        <v>-2.6521991140197106E-2</v>
      </c>
      <c r="E210">
        <f t="shared" si="7"/>
        <v>-2.1847439247957724E-2</v>
      </c>
    </row>
    <row r="211" spans="1:5">
      <c r="A211" s="2">
        <v>45685</v>
      </c>
      <c r="B211">
        <v>20796.599609375</v>
      </c>
      <c r="C211">
        <v>1173.80554199218</v>
      </c>
      <c r="D211">
        <f t="shared" si="6"/>
        <v>-2.3280770686440539E-2</v>
      </c>
      <c r="E211">
        <f t="shared" si="7"/>
        <v>-1.3693472065790994E-2</v>
      </c>
    </row>
    <row r="212" spans="1:5">
      <c r="A212" s="2">
        <v>45686</v>
      </c>
      <c r="B212">
        <v>21163.900390625</v>
      </c>
      <c r="C212">
        <v>1173.755859375</v>
      </c>
      <c r="D212">
        <f t="shared" si="6"/>
        <v>1.7661578726765634E-2</v>
      </c>
      <c r="E212">
        <f t="shared" si="7"/>
        <v>-4.2326105477126519E-5</v>
      </c>
    </row>
    <row r="213" spans="1:5">
      <c r="A213" s="2">
        <v>45687</v>
      </c>
      <c r="B213">
        <v>21419.650390625</v>
      </c>
      <c r="C213">
        <v>1186.97204589843</v>
      </c>
      <c r="D213">
        <f t="shared" si="6"/>
        <v>1.2084256459328731E-2</v>
      </c>
      <c r="E213">
        <f t="shared" si="7"/>
        <v>1.1259740616304428E-2</v>
      </c>
    </row>
    <row r="214" spans="1:5">
      <c r="A214" s="2">
        <v>45688</v>
      </c>
      <c r="B214">
        <v>21438.599609375</v>
      </c>
      <c r="C214">
        <v>1209.67797851562</v>
      </c>
      <c r="D214">
        <f t="shared" si="6"/>
        <v>8.8466517447426389E-4</v>
      </c>
      <c r="E214">
        <f t="shared" si="7"/>
        <v>1.912929010893738E-2</v>
      </c>
    </row>
    <row r="215" spans="1:5">
      <c r="A215" s="2">
        <v>45691</v>
      </c>
      <c r="B215">
        <v>21361.599609375</v>
      </c>
      <c r="C215">
        <v>1196.26306152343</v>
      </c>
      <c r="D215">
        <f t="shared" si="6"/>
        <v>-3.5916525054336223E-3</v>
      </c>
      <c r="E215">
        <f t="shared" si="7"/>
        <v>-1.1089659587464154E-2</v>
      </c>
    </row>
    <row r="216" spans="1:5">
      <c r="A216" s="2">
        <v>45692</v>
      </c>
      <c r="B216">
        <v>21733.94921875</v>
      </c>
      <c r="C216">
        <v>1212.26159667968</v>
      </c>
      <c r="D216">
        <f t="shared" si="6"/>
        <v>1.7430792458612804E-2</v>
      </c>
      <c r="E216">
        <f t="shared" si="7"/>
        <v>1.3373760062336133E-2</v>
      </c>
    </row>
    <row r="217" spans="1:5">
      <c r="A217" s="2">
        <v>45693</v>
      </c>
      <c r="B217">
        <v>21868.5</v>
      </c>
      <c r="C217">
        <v>1219.81384277343</v>
      </c>
      <c r="D217">
        <f t="shared" si="6"/>
        <v>6.1908114303461373E-3</v>
      </c>
      <c r="E217">
        <f t="shared" si="7"/>
        <v>6.2298814995337638E-3</v>
      </c>
    </row>
    <row r="218" spans="1:5">
      <c r="A218" s="2">
        <v>45694</v>
      </c>
      <c r="B218">
        <v>22009.05078125</v>
      </c>
      <c r="C218">
        <v>1228.8564453125</v>
      </c>
      <c r="D218">
        <f t="shared" si="6"/>
        <v>6.427088334819489E-3</v>
      </c>
      <c r="E218">
        <f t="shared" si="7"/>
        <v>7.4131004436794124E-3</v>
      </c>
    </row>
    <row r="219" spans="1:5">
      <c r="A219" s="2">
        <v>45695</v>
      </c>
      <c r="B219">
        <v>22077</v>
      </c>
      <c r="C219">
        <v>1232.58276367187</v>
      </c>
      <c r="D219">
        <f t="shared" si="6"/>
        <v>3.0873307270428696E-3</v>
      </c>
      <c r="E219">
        <f t="shared" si="7"/>
        <v>3.0323463522400206E-3</v>
      </c>
    </row>
    <row r="220" spans="1:5">
      <c r="A220" s="2">
        <v>45698</v>
      </c>
      <c r="B220">
        <v>21665.650390625</v>
      </c>
      <c r="C220">
        <v>1213.25524902343</v>
      </c>
      <c r="D220">
        <f t="shared" si="6"/>
        <v>-1.8632495781809123E-2</v>
      </c>
      <c r="E220">
        <f t="shared" si="7"/>
        <v>-1.5680500505185747E-2</v>
      </c>
    </row>
    <row r="221" spans="1:5">
      <c r="A221" s="2">
        <v>45699</v>
      </c>
      <c r="B221">
        <v>21249.5</v>
      </c>
      <c r="C221">
        <v>1202.17565917968</v>
      </c>
      <c r="D221">
        <f t="shared" si="6"/>
        <v>-1.9207842050524063E-2</v>
      </c>
      <c r="E221">
        <f t="shared" si="7"/>
        <v>-9.1321177902738537E-3</v>
      </c>
    </row>
    <row r="222" spans="1:5">
      <c r="A222" s="2">
        <v>45700</v>
      </c>
      <c r="B222">
        <v>21142.05078125</v>
      </c>
      <c r="C222">
        <v>1208.1875</v>
      </c>
      <c r="D222">
        <f t="shared" si="6"/>
        <v>-5.0565528012423821E-3</v>
      </c>
      <c r="E222">
        <f t="shared" si="7"/>
        <v>5.0008006520629936E-3</v>
      </c>
    </row>
    <row r="223" spans="1:5">
      <c r="A223" s="2">
        <v>45701</v>
      </c>
      <c r="B223">
        <v>21427.099609375</v>
      </c>
      <c r="C223">
        <v>1215.888671875</v>
      </c>
      <c r="D223">
        <f t="shared" si="6"/>
        <v>1.3482553375465254E-2</v>
      </c>
      <c r="E223">
        <f t="shared" si="7"/>
        <v>6.3741529150069835E-3</v>
      </c>
    </row>
    <row r="224" spans="1:5">
      <c r="A224" s="2">
        <v>45702</v>
      </c>
      <c r="B224">
        <v>20811.55078125</v>
      </c>
      <c r="C224">
        <v>1189.50598144531</v>
      </c>
      <c r="D224">
        <f t="shared" si="6"/>
        <v>-2.872758513035889E-2</v>
      </c>
      <c r="E224">
        <f t="shared" si="7"/>
        <v>-2.1698278008467443E-2</v>
      </c>
    </row>
    <row r="225" spans="1:5">
      <c r="A225" s="2">
        <v>45705</v>
      </c>
      <c r="B225">
        <v>21076</v>
      </c>
      <c r="C225">
        <v>1191.39392089843</v>
      </c>
      <c r="D225">
        <f t="shared" si="6"/>
        <v>1.2706848304079935E-2</v>
      </c>
      <c r="E225">
        <f t="shared" si="7"/>
        <v>1.5871626394228433E-3</v>
      </c>
    </row>
    <row r="226" spans="1:5">
      <c r="A226" s="2">
        <v>45706</v>
      </c>
      <c r="B226">
        <v>20969.19921875</v>
      </c>
      <c r="C226">
        <v>1189.85375976562</v>
      </c>
      <c r="D226">
        <f t="shared" si="6"/>
        <v>-5.0674122817422661E-3</v>
      </c>
      <c r="E226">
        <f t="shared" si="7"/>
        <v>-1.2927387875611817E-3</v>
      </c>
    </row>
    <row r="227" spans="1:5">
      <c r="A227" s="2">
        <v>45707</v>
      </c>
      <c r="B227">
        <v>20820</v>
      </c>
      <c r="C227">
        <v>1158.50256347656</v>
      </c>
      <c r="D227">
        <f t="shared" si="6"/>
        <v>-7.1151605358678047E-3</v>
      </c>
      <c r="E227">
        <f t="shared" si="7"/>
        <v>-2.6348781126880355E-2</v>
      </c>
    </row>
    <row r="228" spans="1:5">
      <c r="A228" s="2">
        <v>45708</v>
      </c>
      <c r="B228">
        <v>20785.75</v>
      </c>
      <c r="C228">
        <v>1163.57043457031</v>
      </c>
      <c r="D228">
        <f t="shared" si="6"/>
        <v>-1.6450528338136407E-3</v>
      </c>
      <c r="E228">
        <f t="shared" si="7"/>
        <v>4.3745014068348569E-3</v>
      </c>
    </row>
    <row r="229" spans="1:5">
      <c r="A229" s="2">
        <v>45709</v>
      </c>
      <c r="B229">
        <v>20385.650390625</v>
      </c>
      <c r="C229">
        <v>1144.54125976562</v>
      </c>
      <c r="D229">
        <f t="shared" si="6"/>
        <v>-1.9248745384458102E-2</v>
      </c>
      <c r="E229">
        <f t="shared" si="7"/>
        <v>-1.6354123686304563E-2</v>
      </c>
    </row>
    <row r="230" spans="1:5">
      <c r="A230" s="2">
        <v>45712</v>
      </c>
      <c r="B230">
        <v>20389.69921875</v>
      </c>
      <c r="C230">
        <v>1157.21081542968</v>
      </c>
      <c r="D230">
        <f t="shared" si="6"/>
        <v>1.9861167279028706E-4</v>
      </c>
      <c r="E230">
        <f t="shared" si="7"/>
        <v>1.1069549093105197E-2</v>
      </c>
    </row>
    <row r="231" spans="1:5">
      <c r="A231" s="2">
        <v>45713</v>
      </c>
      <c r="B231">
        <v>20249.150390625</v>
      </c>
      <c r="C231">
        <v>1121.04028320312</v>
      </c>
      <c r="D231">
        <f t="shared" si="6"/>
        <v>-6.893129055859433E-3</v>
      </c>
      <c r="E231">
        <f t="shared" si="7"/>
        <v>-3.1256648956508107E-2</v>
      </c>
    </row>
    <row r="232" spans="1:5">
      <c r="A232" s="2">
        <v>45715</v>
      </c>
      <c r="B232">
        <v>20201.25</v>
      </c>
      <c r="C232">
        <v>1118.45666503906</v>
      </c>
      <c r="D232">
        <f t="shared" si="6"/>
        <v>-2.3655506379752621E-3</v>
      </c>
      <c r="E232">
        <f t="shared" si="7"/>
        <v>-2.3046613067979073E-3</v>
      </c>
    </row>
    <row r="233" spans="1:5">
      <c r="A233" s="2">
        <v>45716</v>
      </c>
      <c r="B233">
        <v>19813.5</v>
      </c>
      <c r="C233">
        <v>1109.46362304687</v>
      </c>
      <c r="D233">
        <f t="shared" si="6"/>
        <v>-1.9194356784852422E-2</v>
      </c>
      <c r="E233">
        <f t="shared" si="7"/>
        <v>-8.0405815203183906E-3</v>
      </c>
    </row>
    <row r="234" spans="1:5">
      <c r="A234" s="2">
        <v>45719</v>
      </c>
      <c r="B234">
        <v>19879.80078125</v>
      </c>
      <c r="C234">
        <v>1112.54406738281</v>
      </c>
      <c r="D234">
        <f t="shared" si="6"/>
        <v>3.3462427763898354E-3</v>
      </c>
      <c r="E234">
        <f t="shared" si="7"/>
        <v>2.7765167527352684E-3</v>
      </c>
    </row>
    <row r="235" spans="1:5">
      <c r="A235" s="2">
        <v>45720</v>
      </c>
      <c r="B235">
        <v>19820.650390625</v>
      </c>
      <c r="C235">
        <v>1113.09069824218</v>
      </c>
      <c r="D235">
        <f t="shared" si="6"/>
        <v>-2.9754015785102223E-3</v>
      </c>
      <c r="E235">
        <f t="shared" si="7"/>
        <v>4.9133411915620797E-4</v>
      </c>
    </row>
    <row r="236" spans="1:5">
      <c r="A236" s="2">
        <v>45721</v>
      </c>
      <c r="B236">
        <v>20126.80078125</v>
      </c>
      <c r="C236">
        <v>1119.30126953125</v>
      </c>
      <c r="D236">
        <f t="shared" si="6"/>
        <v>1.544603151720019E-2</v>
      </c>
      <c r="E236">
        <f t="shared" si="7"/>
        <v>5.5795734335736423E-3</v>
      </c>
    </row>
    <row r="237" spans="1:5">
      <c r="A237" s="2">
        <v>45722</v>
      </c>
      <c r="B237">
        <v>20423.349609375</v>
      </c>
      <c r="C237">
        <v>1132.91491699218</v>
      </c>
      <c r="D237">
        <f t="shared" si="6"/>
        <v>1.4734027098895071E-2</v>
      </c>
      <c r="E237">
        <f t="shared" si="7"/>
        <v>1.2162630233262604E-2</v>
      </c>
    </row>
    <row r="238" spans="1:5">
      <c r="A238" s="2">
        <v>45723</v>
      </c>
      <c r="B238">
        <v>20378.30078125</v>
      </c>
      <c r="C238">
        <v>1126.10803222656</v>
      </c>
      <c r="D238">
        <f t="shared" si="6"/>
        <v>-2.2057512105811026E-3</v>
      </c>
      <c r="E238">
        <f t="shared" si="7"/>
        <v>-6.0082930002297629E-3</v>
      </c>
    </row>
    <row r="239" spans="1:5">
      <c r="A239" s="2">
        <v>45726</v>
      </c>
      <c r="B239">
        <v>20256.55078125</v>
      </c>
      <c r="C239">
        <v>1113.14025878906</v>
      </c>
      <c r="D239">
        <f t="shared" si="6"/>
        <v>-5.9744922457922369E-3</v>
      </c>
      <c r="E239">
        <f t="shared" si="7"/>
        <v>-1.1515567837536775E-2</v>
      </c>
    </row>
    <row r="240" spans="1:5">
      <c r="A240" s="2">
        <v>45727</v>
      </c>
      <c r="B240">
        <v>20332.099609375</v>
      </c>
      <c r="C240">
        <v>1109.61267089843</v>
      </c>
      <c r="D240">
        <f t="shared" si="6"/>
        <v>3.7295998188857501E-3</v>
      </c>
      <c r="E240">
        <f t="shared" si="7"/>
        <v>-3.169041693332987E-3</v>
      </c>
    </row>
    <row r="241" spans="1:5">
      <c r="A241" s="2">
        <v>45728</v>
      </c>
      <c r="B241">
        <v>20424</v>
      </c>
      <c r="C241">
        <v>1098.18518066406</v>
      </c>
      <c r="D241">
        <f t="shared" si="6"/>
        <v>4.5199655908937869E-3</v>
      </c>
      <c r="E241">
        <f t="shared" si="7"/>
        <v>-1.0298629903998302E-2</v>
      </c>
    </row>
    <row r="242" spans="1:5">
      <c r="A242" s="2">
        <v>45729</v>
      </c>
      <c r="B242">
        <v>20386.849609375</v>
      </c>
      <c r="C242">
        <v>1100.96740722656</v>
      </c>
      <c r="D242">
        <f t="shared" si="6"/>
        <v>-1.8189576295045045E-3</v>
      </c>
      <c r="E242">
        <f t="shared" si="7"/>
        <v>2.5334766954491403E-3</v>
      </c>
    </row>
    <row r="243" spans="1:5">
      <c r="A243" s="2">
        <v>45733</v>
      </c>
      <c r="B243">
        <v>20703.94921875</v>
      </c>
      <c r="C243">
        <v>1143.44799804687</v>
      </c>
      <c r="D243">
        <f t="shared" si="6"/>
        <v>1.5554125107646847E-2</v>
      </c>
      <c r="E243">
        <f t="shared" si="7"/>
        <v>3.8584785109418075E-2</v>
      </c>
    </row>
    <row r="244" spans="1:5">
      <c r="A244" s="2">
        <v>45734</v>
      </c>
      <c r="B244">
        <v>21041.30078125</v>
      </c>
      <c r="C244">
        <v>1143.44799804687</v>
      </c>
      <c r="D244">
        <f t="shared" si="6"/>
        <v>1.6294068292752872E-2</v>
      </c>
      <c r="E244">
        <f t="shared" si="7"/>
        <v>0</v>
      </c>
    </row>
    <row r="245" spans="1:5">
      <c r="A245" s="2">
        <v>45735</v>
      </c>
      <c r="B245">
        <v>21145.650390625</v>
      </c>
      <c r="C245">
        <v>1164.71313476562</v>
      </c>
      <c r="D245">
        <f t="shared" si="6"/>
        <v>4.9592755913639344E-3</v>
      </c>
      <c r="E245">
        <f t="shared" si="7"/>
        <v>1.8597379815324441E-2</v>
      </c>
    </row>
    <row r="246" spans="1:5">
      <c r="A246" s="2">
        <v>45736</v>
      </c>
      <c r="B246">
        <v>21340.599609375</v>
      </c>
      <c r="C246">
        <v>1179.71801757812</v>
      </c>
      <c r="D246">
        <f t="shared" si="6"/>
        <v>9.2193531600442725E-3</v>
      </c>
      <c r="E246">
        <f t="shared" si="7"/>
        <v>1.2882899973064608E-2</v>
      </c>
    </row>
    <row r="247" spans="1:5">
      <c r="A247" s="2">
        <v>45737</v>
      </c>
      <c r="B247">
        <v>21625.900390625</v>
      </c>
      <c r="C247">
        <v>1192.58642578125</v>
      </c>
      <c r="D247">
        <f t="shared" si="6"/>
        <v>1.3368920577314349E-2</v>
      </c>
      <c r="E247">
        <f t="shared" si="7"/>
        <v>1.0908037354170414E-2</v>
      </c>
    </row>
    <row r="248" spans="1:5">
      <c r="A248" s="2">
        <v>45740</v>
      </c>
      <c r="B248">
        <v>21771.150390625</v>
      </c>
      <c r="C248">
        <v>1202.67248535156</v>
      </c>
      <c r="D248">
        <f t="shared" si="6"/>
        <v>6.7164833545135085E-3</v>
      </c>
      <c r="E248">
        <f t="shared" si="7"/>
        <v>8.4572986512929105E-3</v>
      </c>
    </row>
    <row r="249" spans="1:5">
      <c r="A249" s="2">
        <v>45741</v>
      </c>
      <c r="B249">
        <v>21542.5</v>
      </c>
      <c r="C249">
        <v>1170.47668457031</v>
      </c>
      <c r="D249">
        <f t="shared" si="6"/>
        <v>-1.0502448723309563E-2</v>
      </c>
      <c r="E249">
        <f t="shared" si="7"/>
        <v>-2.6770214811922519E-2</v>
      </c>
    </row>
    <row r="250" spans="1:5">
      <c r="A250" s="2">
        <v>45742</v>
      </c>
      <c r="B250">
        <v>21360.599609375</v>
      </c>
      <c r="C250">
        <v>1157.26049804687</v>
      </c>
      <c r="D250">
        <f t="shared" si="6"/>
        <v>-8.4437920680051053E-3</v>
      </c>
      <c r="E250">
        <f t="shared" si="7"/>
        <v>-1.1291285591298859E-2</v>
      </c>
    </row>
    <row r="251" spans="1:5">
      <c r="A251" s="2">
        <v>45743</v>
      </c>
      <c r="B251">
        <v>21275.150390625</v>
      </c>
      <c r="C251">
        <v>1154.87561035156</v>
      </c>
      <c r="D251">
        <f t="shared" si="6"/>
        <v>-4.0003192940565677E-3</v>
      </c>
      <c r="E251">
        <f t="shared" si="7"/>
        <v>-2.0608045460248736E-3</v>
      </c>
    </row>
    <row r="252" spans="1:5">
      <c r="A252" s="2">
        <v>45744</v>
      </c>
      <c r="B252">
        <v>21137.44921875</v>
      </c>
      <c r="C252">
        <v>1136.98901367187</v>
      </c>
      <c r="D252">
        <f t="shared" si="6"/>
        <v>-6.4723947585197186E-3</v>
      </c>
      <c r="E252">
        <f t="shared" si="7"/>
        <v>-1.548789888656933E-2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8E72D-4D29-4D4E-A23D-5FC4444F3717}">
  <dimension ref="A1:X252"/>
  <sheetViews>
    <sheetView topLeftCell="F2" workbookViewId="0">
      <selection activeCell="P2" sqref="P2:T2"/>
    </sheetView>
  </sheetViews>
  <sheetFormatPr defaultRowHeight="15" customHeight="1"/>
  <cols>
    <col min="2" max="2" width="46.33203125" bestFit="1" customWidth="1"/>
    <col min="3" max="3" width="12.5546875" bestFit="1" customWidth="1"/>
    <col min="4" max="4" width="8.44140625" customWidth="1"/>
    <col min="5" max="5" width="9" customWidth="1"/>
    <col min="6" max="6" width="52.6640625" bestFit="1" customWidth="1"/>
    <col min="7" max="7" width="9.5546875" bestFit="1" customWidth="1"/>
    <col min="8" max="9" width="9.5546875" customWidth="1"/>
    <col min="10" max="10" width="17.33203125" bestFit="1" customWidth="1"/>
    <col min="11" max="11" width="12.33203125" bestFit="1" customWidth="1"/>
    <col min="12" max="12" width="21.109375" customWidth="1"/>
    <col min="13" max="13" width="53.5546875" bestFit="1" customWidth="1"/>
    <col min="16" max="16" width="11.109375" bestFit="1" customWidth="1"/>
    <col min="17" max="17" width="13.88671875" bestFit="1" customWidth="1"/>
    <col min="18" max="18" width="12.44140625" bestFit="1" customWidth="1"/>
    <col min="19" max="20" width="12.5546875" bestFit="1" customWidth="1"/>
    <col min="23" max="23" width="27.6640625" bestFit="1" customWidth="1"/>
    <col min="24" max="24" width="17" bestFit="1" customWidth="1"/>
  </cols>
  <sheetData>
    <row r="1" spans="1:24" ht="14.4">
      <c r="A1" s="14"/>
      <c r="B1" s="14"/>
      <c r="C1" s="14"/>
      <c r="D1" s="14"/>
      <c r="E1" s="14"/>
      <c r="F1" s="14"/>
      <c r="G1" s="14"/>
      <c r="H1" s="14"/>
      <c r="I1" s="14"/>
    </row>
    <row r="2" spans="1:24" ht="21">
      <c r="A2" s="14"/>
      <c r="B2" s="14"/>
      <c r="C2" s="67" t="s">
        <v>148</v>
      </c>
      <c r="D2" s="68"/>
      <c r="E2" s="68"/>
      <c r="F2" s="69"/>
      <c r="G2" s="14"/>
      <c r="H2" s="14"/>
      <c r="I2" s="14"/>
      <c r="P2" s="64" t="s">
        <v>147</v>
      </c>
      <c r="Q2" s="65"/>
      <c r="R2" s="65"/>
      <c r="S2" s="65"/>
      <c r="T2" s="66"/>
    </row>
    <row r="3" spans="1:24" ht="14.4">
      <c r="A3" s="14"/>
      <c r="B3" s="14"/>
      <c r="C3" s="14"/>
      <c r="D3" s="14"/>
      <c r="E3" s="14"/>
      <c r="F3" s="14"/>
      <c r="G3" s="14"/>
      <c r="H3" s="14"/>
      <c r="I3" s="14"/>
      <c r="P3" s="57" t="s">
        <v>1</v>
      </c>
      <c r="Q3" s="57" t="s">
        <v>2</v>
      </c>
      <c r="R3" s="57" t="s">
        <v>2</v>
      </c>
      <c r="S3" s="57" t="s">
        <v>3</v>
      </c>
      <c r="T3" s="57" t="s">
        <v>3</v>
      </c>
      <c r="W3" s="58" t="s">
        <v>142</v>
      </c>
      <c r="X3" s="58" t="s">
        <v>5</v>
      </c>
    </row>
    <row r="4" spans="1:24" ht="14.4">
      <c r="A4" s="15"/>
      <c r="B4" s="16" t="s">
        <v>149</v>
      </c>
      <c r="C4" s="17">
        <v>46105</v>
      </c>
      <c r="D4" s="15" t="s">
        <v>16</v>
      </c>
      <c r="E4" s="15"/>
      <c r="F4" s="16" t="s">
        <v>150</v>
      </c>
      <c r="G4" s="17">
        <v>46105</v>
      </c>
      <c r="H4" s="27"/>
      <c r="I4" s="27"/>
      <c r="P4" s="57" t="s">
        <v>6</v>
      </c>
      <c r="Q4" s="57" t="s">
        <v>7</v>
      </c>
      <c r="R4" s="57" t="s">
        <v>147</v>
      </c>
      <c r="S4" s="57" t="s">
        <v>8</v>
      </c>
      <c r="T4" s="57" t="s">
        <v>9</v>
      </c>
      <c r="W4" s="60">
        <f>_xlfn.COVARIANCE.S(S7:S252,T7:T252)</f>
        <v>8.2296475675415045E-5</v>
      </c>
      <c r="X4" s="60">
        <f>_xlfn.VAR.S(S7:S252)</f>
        <v>1.0123143075821166E-4</v>
      </c>
    </row>
    <row r="5" spans="1:24" ht="14.4">
      <c r="A5" s="14"/>
      <c r="B5" s="18" t="s">
        <v>16</v>
      </c>
      <c r="C5" s="19" t="s">
        <v>17</v>
      </c>
      <c r="D5" s="14" t="s">
        <v>16</v>
      </c>
      <c r="E5" s="14"/>
      <c r="F5" s="18" t="s">
        <v>16</v>
      </c>
      <c r="G5" s="19" t="s">
        <v>17</v>
      </c>
      <c r="H5" s="14"/>
      <c r="I5" s="14"/>
      <c r="P5" s="57" t="s">
        <v>10</v>
      </c>
      <c r="Q5" s="57"/>
      <c r="R5" s="57"/>
      <c r="S5" s="57"/>
      <c r="T5" s="57"/>
      <c r="W5" s="59"/>
      <c r="X5" s="59"/>
    </row>
    <row r="6" spans="1:24" ht="14.4">
      <c r="A6" s="14"/>
      <c r="B6" s="18" t="s">
        <v>18</v>
      </c>
      <c r="C6" s="19" t="s">
        <v>19</v>
      </c>
      <c r="D6" s="14" t="s">
        <v>16</v>
      </c>
      <c r="E6" s="14"/>
      <c r="F6" s="18" t="s">
        <v>20</v>
      </c>
      <c r="G6" s="19" t="s">
        <v>19</v>
      </c>
      <c r="H6" s="14"/>
      <c r="I6" s="14"/>
      <c r="P6" s="53">
        <v>45383</v>
      </c>
      <c r="Q6" s="41">
        <v>19207.900390625</v>
      </c>
      <c r="R6" s="41">
        <v>1234.87915039062</v>
      </c>
      <c r="S6" s="41"/>
      <c r="T6" s="41"/>
      <c r="W6" s="58" t="s">
        <v>11</v>
      </c>
      <c r="X6" s="59"/>
    </row>
    <row r="7" spans="1:24" ht="14.4">
      <c r="A7" s="14"/>
      <c r="B7" s="18" t="s">
        <v>21</v>
      </c>
      <c r="C7" s="19" t="s">
        <v>19</v>
      </c>
      <c r="D7" s="14" t="s">
        <v>16</v>
      </c>
      <c r="E7" s="14"/>
      <c r="F7" s="18" t="s">
        <v>22</v>
      </c>
      <c r="G7" s="20">
        <v>27916.400000000001</v>
      </c>
      <c r="H7" s="26"/>
      <c r="I7" s="26"/>
      <c r="P7" s="53">
        <v>45384</v>
      </c>
      <c r="Q7" s="41">
        <v>19185.150390625</v>
      </c>
      <c r="R7" s="41">
        <v>1232.35021972656</v>
      </c>
      <c r="S7" s="41">
        <f>(Q7-Q6)/Q6</f>
        <v>-1.1844084744995777E-3</v>
      </c>
      <c r="T7" s="41">
        <f>(R7-R6)/R6</f>
        <v>-2.0479175336793414E-3</v>
      </c>
      <c r="W7" s="60">
        <f>W4/X4</f>
        <v>0.8129537936886202</v>
      </c>
      <c r="X7" s="59"/>
    </row>
    <row r="8" spans="1:24" ht="14.4">
      <c r="A8" s="14"/>
      <c r="B8" s="18" t="s">
        <v>23</v>
      </c>
      <c r="C8" s="19">
        <v>83.4</v>
      </c>
      <c r="D8" s="14" t="s">
        <v>16</v>
      </c>
      <c r="E8" s="14"/>
      <c r="F8" s="18" t="s">
        <v>24</v>
      </c>
      <c r="G8" s="19">
        <v>0</v>
      </c>
      <c r="H8" s="14"/>
      <c r="I8" s="14"/>
      <c r="P8" s="53">
        <v>45385</v>
      </c>
      <c r="Q8" s="41">
        <v>19153.05078125</v>
      </c>
      <c r="R8" s="41">
        <v>1209.99523925781</v>
      </c>
      <c r="S8" s="41">
        <f t="shared" ref="S8:T71" si="0">(Q8-Q7)/Q7</f>
        <v>-1.6731486968528414E-3</v>
      </c>
      <c r="T8" s="41">
        <f t="shared" si="0"/>
        <v>-1.8140119676134138E-2</v>
      </c>
      <c r="W8" s="59"/>
      <c r="X8" s="59"/>
    </row>
    <row r="9" spans="1:24" ht="14.4">
      <c r="A9" s="14"/>
      <c r="B9" s="18" t="s">
        <v>25</v>
      </c>
      <c r="C9" s="19">
        <v>83.4</v>
      </c>
      <c r="D9" s="14" t="s">
        <v>16</v>
      </c>
      <c r="E9" s="14"/>
      <c r="F9" s="18" t="s">
        <v>26</v>
      </c>
      <c r="G9" s="20">
        <v>27916.400000000001</v>
      </c>
      <c r="H9" s="26"/>
      <c r="I9" s="26"/>
      <c r="P9" s="53">
        <v>45386</v>
      </c>
      <c r="Q9" s="41">
        <v>19125.19921875</v>
      </c>
      <c r="R9" s="41">
        <v>1213.5712890625</v>
      </c>
      <c r="S9" s="41">
        <f t="shared" si="0"/>
        <v>-1.4541580251677432E-3</v>
      </c>
      <c r="T9" s="41">
        <f t="shared" si="0"/>
        <v>2.9554246898388526E-3</v>
      </c>
      <c r="W9" s="58" t="s">
        <v>12</v>
      </c>
      <c r="X9" s="59"/>
    </row>
    <row r="10" spans="1:24" ht="14.4">
      <c r="A10" s="14"/>
      <c r="B10" s="18" t="s">
        <v>27</v>
      </c>
      <c r="C10" s="20">
        <v>28171.4</v>
      </c>
      <c r="D10" s="14" t="s">
        <v>16</v>
      </c>
      <c r="E10" s="14"/>
      <c r="F10" s="18" t="s">
        <v>28</v>
      </c>
      <c r="G10" s="20">
        <v>28011.1</v>
      </c>
      <c r="H10" s="26"/>
      <c r="I10" s="26"/>
      <c r="P10" s="53">
        <v>45387</v>
      </c>
      <c r="Q10" s="41">
        <v>19160.75</v>
      </c>
      <c r="R10" s="41">
        <v>1220.841796875</v>
      </c>
      <c r="S10" s="41">
        <f t="shared" si="0"/>
        <v>1.8588450161160495E-3</v>
      </c>
      <c r="T10" s="41">
        <f t="shared" si="0"/>
        <v>5.9910018290862538E-3</v>
      </c>
      <c r="W10" s="60">
        <f>AVERAGE(S7:S252)</f>
        <v>4.3962859287504746E-4</v>
      </c>
      <c r="X10" s="59"/>
    </row>
    <row r="11" spans="1:24" ht="14.4">
      <c r="A11" s="14"/>
      <c r="B11" s="18" t="s">
        <v>29</v>
      </c>
      <c r="C11" s="20">
        <v>28171.4</v>
      </c>
      <c r="D11" s="14" t="s">
        <v>16</v>
      </c>
      <c r="E11" s="14"/>
      <c r="F11" s="18" t="s">
        <v>30</v>
      </c>
      <c r="G11" s="19">
        <v>894.3</v>
      </c>
      <c r="H11" s="14"/>
      <c r="I11" s="14"/>
      <c r="P11" s="53">
        <v>45390</v>
      </c>
      <c r="Q11" s="41">
        <v>19218.849609375</v>
      </c>
      <c r="R11" s="41">
        <v>1219.90344238281</v>
      </c>
      <c r="S11" s="41">
        <f t="shared" si="0"/>
        <v>3.0322200005219002E-3</v>
      </c>
      <c r="T11" s="41">
        <f t="shared" si="0"/>
        <v>-7.6861268560096468E-4</v>
      </c>
    </row>
    <row r="12" spans="1:24" ht="14.4">
      <c r="A12" s="14"/>
      <c r="B12" s="18" t="s">
        <v>31</v>
      </c>
      <c r="C12" s="20">
        <v>28254.799999999999</v>
      </c>
      <c r="D12" s="14" t="s">
        <v>16</v>
      </c>
      <c r="E12" s="14"/>
      <c r="F12" s="18" t="s">
        <v>32</v>
      </c>
      <c r="G12" s="20">
        <v>28905.4</v>
      </c>
      <c r="H12" s="26"/>
      <c r="I12" s="26"/>
      <c r="P12" s="53">
        <v>45391</v>
      </c>
      <c r="Q12" s="41">
        <v>19182.30078125</v>
      </c>
      <c r="R12" s="41">
        <v>1218.58947753906</v>
      </c>
      <c r="S12" s="41">
        <f t="shared" si="0"/>
        <v>-1.901717785812289E-3</v>
      </c>
      <c r="T12" s="41">
        <f t="shared" si="0"/>
        <v>-1.077105611886349E-3</v>
      </c>
    </row>
    <row r="13" spans="1:24" ht="14.4">
      <c r="A13" s="14"/>
      <c r="B13" s="18" t="s">
        <v>33</v>
      </c>
      <c r="C13" s="19">
        <v>0</v>
      </c>
      <c r="D13" s="14" t="s">
        <v>16</v>
      </c>
      <c r="E13" s="14"/>
      <c r="F13" s="18" t="s">
        <v>34</v>
      </c>
      <c r="G13" s="19" t="s">
        <v>19</v>
      </c>
      <c r="H13" s="14"/>
      <c r="I13" s="14"/>
      <c r="J13" s="51" t="s">
        <v>35</v>
      </c>
      <c r="K13" s="45">
        <f>C15 + C21</f>
        <v>1652.3</v>
      </c>
      <c r="L13" s="46" t="str">
        <f ca="1">_xlfn.FORMULATEXT(K13)</f>
        <v>=C15 + C21</v>
      </c>
      <c r="M13" s="46" t="s">
        <v>36</v>
      </c>
      <c r="P13" s="53">
        <v>45392</v>
      </c>
      <c r="Q13" s="41">
        <v>19117</v>
      </c>
      <c r="R13" s="41">
        <v>1216.61376953125</v>
      </c>
      <c r="S13" s="41">
        <f t="shared" si="0"/>
        <v>-3.4042204840114454E-3</v>
      </c>
      <c r="T13" s="41">
        <f t="shared" si="0"/>
        <v>-1.6213072935767827E-3</v>
      </c>
    </row>
    <row r="14" spans="1:24" ht="14.4">
      <c r="A14" s="14"/>
      <c r="B14" s="18" t="s">
        <v>37</v>
      </c>
      <c r="C14" s="19" t="s">
        <v>19</v>
      </c>
      <c r="D14" s="14" t="s">
        <v>16</v>
      </c>
      <c r="E14" s="14"/>
      <c r="F14" s="18" t="s">
        <v>38</v>
      </c>
      <c r="G14" s="20">
        <v>4490.1000000000004</v>
      </c>
      <c r="H14" s="26"/>
      <c r="I14" s="26"/>
      <c r="J14" s="52" t="s">
        <v>39</v>
      </c>
      <c r="K14" s="47">
        <f>K27 / K28</f>
        <v>2.678622883083698</v>
      </c>
      <c r="L14" s="48" t="str">
        <f ca="1">_xlfn.FORMULATEXT(K14)</f>
        <v>=K27 / K28</v>
      </c>
      <c r="M14" s="48" t="s">
        <v>40</v>
      </c>
      <c r="P14" s="53">
        <v>45394</v>
      </c>
      <c r="Q14" s="41">
        <v>18788.650390625</v>
      </c>
      <c r="R14" s="41">
        <v>1201.98388671875</v>
      </c>
      <c r="S14" s="41">
        <f t="shared" si="0"/>
        <v>-1.717579167102579E-2</v>
      </c>
      <c r="T14" s="41">
        <f t="shared" si="0"/>
        <v>-1.2025084031505543E-2</v>
      </c>
    </row>
    <row r="15" spans="1:24" ht="14.4">
      <c r="A15" s="14"/>
      <c r="B15" s="18" t="s">
        <v>41</v>
      </c>
      <c r="C15" s="19">
        <v>380</v>
      </c>
      <c r="D15" s="14" t="s">
        <v>16</v>
      </c>
      <c r="E15" s="14"/>
      <c r="F15" s="18" t="s">
        <v>42</v>
      </c>
      <c r="G15" s="20">
        <v>4399.1000000000004</v>
      </c>
      <c r="H15" s="26"/>
      <c r="I15" s="26"/>
      <c r="J15" s="51" t="s">
        <v>43</v>
      </c>
      <c r="K15" s="49">
        <f>K28 / K29</f>
        <v>1.0238091924912682</v>
      </c>
      <c r="L15" s="46" t="str">
        <f t="shared" ref="L15:L21" ca="1" si="1">_xlfn.FORMULATEXT(K15)</f>
        <v>=K28 / K29</v>
      </c>
      <c r="M15" s="46" t="s">
        <v>44</v>
      </c>
      <c r="P15" s="53">
        <v>45397</v>
      </c>
      <c r="Q15" s="41">
        <v>18617.650390625</v>
      </c>
      <c r="R15" s="41">
        <v>1187.56127929687</v>
      </c>
      <c r="S15" s="41">
        <f t="shared" si="0"/>
        <v>-9.1012391228123615E-3</v>
      </c>
      <c r="T15" s="41">
        <f t="shared" si="0"/>
        <v>-1.1999002300481522E-2</v>
      </c>
    </row>
    <row r="16" spans="1:24" ht="14.4">
      <c r="A16" s="14"/>
      <c r="B16" s="18" t="s">
        <v>45</v>
      </c>
      <c r="C16" s="19">
        <v>84.1</v>
      </c>
      <c r="D16" s="14" t="s">
        <v>16</v>
      </c>
      <c r="E16" s="14"/>
      <c r="F16" s="18" t="s">
        <v>46</v>
      </c>
      <c r="G16" s="19">
        <v>0</v>
      </c>
      <c r="H16" s="14"/>
      <c r="I16" s="14"/>
      <c r="J16" s="51" t="s">
        <v>47</v>
      </c>
      <c r="K16" s="46">
        <f>K14 * K15</f>
        <v>2.7423987309185538</v>
      </c>
      <c r="L16" s="46" t="str">
        <f t="shared" ca="1" si="1"/>
        <v>=K14 * K15</v>
      </c>
      <c r="M16" s="46" t="s">
        <v>48</v>
      </c>
      <c r="P16" s="53">
        <v>45398</v>
      </c>
      <c r="Q16" s="41">
        <v>18695.599609375</v>
      </c>
      <c r="R16" s="41">
        <v>1195.365234375</v>
      </c>
      <c r="S16" s="41">
        <f t="shared" si="0"/>
        <v>4.1868451235528448E-3</v>
      </c>
      <c r="T16" s="41">
        <f t="shared" si="0"/>
        <v>6.5714125360760833E-3</v>
      </c>
    </row>
    <row r="17" spans="1:20" ht="14.4">
      <c r="A17" s="14"/>
      <c r="B17" s="18" t="s">
        <v>49</v>
      </c>
      <c r="C17" s="19">
        <v>533</v>
      </c>
      <c r="D17" s="14" t="s">
        <v>16</v>
      </c>
      <c r="E17" s="14"/>
      <c r="F17" s="18" t="s">
        <v>50</v>
      </c>
      <c r="G17" s="19">
        <v>-680.5</v>
      </c>
      <c r="H17" s="14"/>
      <c r="I17" s="14"/>
      <c r="J17" s="51" t="s">
        <v>51</v>
      </c>
      <c r="K17" s="46">
        <f>G19 / (C15 + C21)</f>
        <v>0.10355262361556618</v>
      </c>
      <c r="L17" s="46" t="str">
        <f t="shared" ca="1" si="1"/>
        <v>=G19 / (C15 + C21)</v>
      </c>
      <c r="M17" s="46" t="s">
        <v>52</v>
      </c>
      <c r="P17" s="53">
        <v>45400</v>
      </c>
      <c r="Q17" s="41">
        <v>18525.75</v>
      </c>
      <c r="R17" s="41">
        <v>1176.95190429687</v>
      </c>
      <c r="S17" s="41">
        <f t="shared" si="0"/>
        <v>-9.0850046494271343E-3</v>
      </c>
      <c r="T17" s="41">
        <f t="shared" si="0"/>
        <v>-1.5403936427645449E-2</v>
      </c>
    </row>
    <row r="18" spans="1:20" ht="14.4">
      <c r="A18" s="14"/>
      <c r="B18" s="18" t="s">
        <v>53</v>
      </c>
      <c r="C18" s="19">
        <v>23.9</v>
      </c>
      <c r="D18" s="14" t="s">
        <v>16</v>
      </c>
      <c r="E18" s="14"/>
      <c r="F18" s="18" t="s">
        <v>54</v>
      </c>
      <c r="G18" s="20">
        <v>5030.1000000000004</v>
      </c>
      <c r="H18" s="26"/>
      <c r="I18" s="26"/>
      <c r="J18" s="51" t="s">
        <v>55</v>
      </c>
      <c r="K18" s="49">
        <f>K33+K31*(K32-K33)</f>
        <v>0.1025963243855859</v>
      </c>
      <c r="L18" s="46" t="str">
        <f t="shared" ca="1" si="1"/>
        <v>=K33+K31*(K32-K33)</v>
      </c>
      <c r="M18" s="46" t="s">
        <v>56</v>
      </c>
      <c r="P18" s="53">
        <v>45401</v>
      </c>
      <c r="Q18" s="41">
        <v>18404.599609375</v>
      </c>
      <c r="R18" s="41">
        <v>1174.12646484375</v>
      </c>
      <c r="S18" s="41">
        <f t="shared" si="0"/>
        <v>-6.5395673926831573E-3</v>
      </c>
      <c r="T18" s="41">
        <f t="shared" si="0"/>
        <v>-2.4006413879825964E-3</v>
      </c>
    </row>
    <row r="19" spans="1:20" ht="14.4">
      <c r="A19" s="14"/>
      <c r="B19" s="18" t="s">
        <v>57</v>
      </c>
      <c r="C19" s="20">
        <v>1021</v>
      </c>
      <c r="D19" s="14" t="s">
        <v>16</v>
      </c>
      <c r="E19" s="14"/>
      <c r="F19" s="18" t="s">
        <v>58</v>
      </c>
      <c r="G19" s="19">
        <v>171.1</v>
      </c>
      <c r="H19" s="14"/>
      <c r="I19" s="14"/>
      <c r="J19" s="51" t="s">
        <v>59</v>
      </c>
      <c r="K19" s="50">
        <f>G31 / G25</f>
        <v>0.22586031754866898</v>
      </c>
      <c r="L19" s="46" t="str">
        <f t="shared" ca="1" si="1"/>
        <v>=G31 / G25</v>
      </c>
      <c r="M19" s="46" t="s">
        <v>60</v>
      </c>
      <c r="P19" s="53">
        <v>45404</v>
      </c>
      <c r="Q19" s="41">
        <v>18643</v>
      </c>
      <c r="R19" s="41">
        <v>1188.59851074218</v>
      </c>
      <c r="S19" s="41">
        <f t="shared" si="0"/>
        <v>1.2953304917514357E-2</v>
      </c>
      <c r="T19" s="41">
        <f t="shared" si="0"/>
        <v>1.2325798226816991E-2</v>
      </c>
    </row>
    <row r="20" spans="1:20" ht="14.4">
      <c r="A20" s="14"/>
      <c r="B20" s="18" t="s">
        <v>61</v>
      </c>
      <c r="C20" s="19" t="s">
        <v>19</v>
      </c>
      <c r="D20" s="14" t="s">
        <v>16</v>
      </c>
      <c r="E20" s="14"/>
      <c r="F20" s="18" t="s">
        <v>62</v>
      </c>
      <c r="G20" s="20">
        <v>1470</v>
      </c>
      <c r="H20" s="26"/>
      <c r="I20" s="26"/>
      <c r="J20" s="51" t="s">
        <v>63</v>
      </c>
      <c r="K20" s="46">
        <f>K13 / (K13 + C12)</f>
        <v>5.5247750534154101E-2</v>
      </c>
      <c r="L20" s="46" t="str">
        <f t="shared" ca="1" si="1"/>
        <v>=K13 / (K13 + C12)</v>
      </c>
      <c r="M20" s="46" t="s">
        <v>64</v>
      </c>
      <c r="P20" s="53">
        <v>45405</v>
      </c>
      <c r="Q20" s="41">
        <v>18463.75</v>
      </c>
      <c r="R20" s="41">
        <v>1175.95397949218</v>
      </c>
      <c r="S20" s="41">
        <f t="shared" si="0"/>
        <v>-9.6148688515796821E-3</v>
      </c>
      <c r="T20" s="41">
        <f t="shared" si="0"/>
        <v>-1.0638185338213616E-2</v>
      </c>
    </row>
    <row r="21" spans="1:20" ht="14.4">
      <c r="A21" s="14"/>
      <c r="B21" s="18" t="s">
        <v>65</v>
      </c>
      <c r="C21" s="20">
        <v>1272.3</v>
      </c>
      <c r="D21" s="14" t="s">
        <v>16</v>
      </c>
      <c r="E21" s="14"/>
      <c r="F21" s="18" t="s">
        <v>66</v>
      </c>
      <c r="G21" s="20">
        <v>6838.9</v>
      </c>
      <c r="H21" s="26"/>
      <c r="I21" s="26"/>
      <c r="J21" s="51" t="s">
        <v>67</v>
      </c>
      <c r="K21" s="46">
        <f>C12 / (K13 + C12)</f>
        <v>0.94475224946584591</v>
      </c>
      <c r="L21" s="46" t="str">
        <f t="shared" ca="1" si="1"/>
        <v>=C12 / (K13 + C12)</v>
      </c>
      <c r="M21" s="46" t="s">
        <v>68</v>
      </c>
      <c r="P21" s="53">
        <v>45406</v>
      </c>
      <c r="Q21" s="41">
        <v>18586.19921875</v>
      </c>
      <c r="R21" s="41">
        <v>1175.697265625</v>
      </c>
      <c r="S21" s="41">
        <f t="shared" si="0"/>
        <v>6.6318715726761896E-3</v>
      </c>
      <c r="T21" s="41">
        <f t="shared" si="0"/>
        <v>-2.1830264760093343E-4</v>
      </c>
    </row>
    <row r="22" spans="1:20" ht="14.4">
      <c r="A22" s="14"/>
      <c r="B22" s="18" t="s">
        <v>69</v>
      </c>
      <c r="C22" s="20">
        <v>2614.4</v>
      </c>
      <c r="D22" s="14" t="s">
        <v>16</v>
      </c>
      <c r="E22" s="14"/>
      <c r="F22" s="18" t="s">
        <v>70</v>
      </c>
      <c r="G22" s="20">
        <v>21719.1</v>
      </c>
      <c r="H22" s="26"/>
      <c r="I22" s="26"/>
      <c r="J22" s="51" t="s">
        <v>71</v>
      </c>
      <c r="K22" s="49">
        <f>K21 * K18 + K20 * K17</f>
        <v>0.10264915776687984</v>
      </c>
      <c r="L22" s="46" t="str">
        <f ca="1">_xlfn.FORMULATEXT(K22)</f>
        <v>=K21 * K18 + K20 * K17</v>
      </c>
      <c r="M22" s="46" t="s">
        <v>72</v>
      </c>
      <c r="P22" s="53">
        <v>45407</v>
      </c>
      <c r="Q22" s="41">
        <v>18878.150390625</v>
      </c>
      <c r="R22" s="41">
        <v>1228.63586425781</v>
      </c>
      <c r="S22" s="41">
        <f t="shared" si="0"/>
        <v>1.5707954511779677E-2</v>
      </c>
      <c r="T22" s="41">
        <f t="shared" si="0"/>
        <v>4.5027406442650755E-2</v>
      </c>
    </row>
    <row r="23" spans="1:20" ht="14.4">
      <c r="A23" s="14"/>
      <c r="B23" s="18" t="s">
        <v>73</v>
      </c>
      <c r="C23" s="20">
        <v>5009.3</v>
      </c>
      <c r="D23" s="14" t="s">
        <v>16</v>
      </c>
      <c r="E23" s="14"/>
      <c r="F23" s="18" t="s">
        <v>74</v>
      </c>
      <c r="G23" s="20">
        <v>7186.3</v>
      </c>
      <c r="H23" s="26"/>
      <c r="I23" s="26"/>
      <c r="J23" s="24"/>
      <c r="K23" s="3"/>
      <c r="L23" s="3"/>
      <c r="P23" s="53">
        <v>45408</v>
      </c>
      <c r="Q23" s="41">
        <v>18994.650390625</v>
      </c>
      <c r="R23" s="41">
        <v>1235.22497558593</v>
      </c>
      <c r="S23" s="41">
        <f t="shared" si="0"/>
        <v>6.1711554145608772E-3</v>
      </c>
      <c r="T23" s="41">
        <f t="shared" si="0"/>
        <v>5.3629488767205444E-3</v>
      </c>
    </row>
    <row r="24" spans="1:20" ht="14.4">
      <c r="A24" s="14"/>
      <c r="B24" s="18" t="s">
        <v>75</v>
      </c>
      <c r="C24" s="19">
        <v>692</v>
      </c>
      <c r="D24" s="14" t="s">
        <v>16</v>
      </c>
      <c r="E24" s="14"/>
      <c r="F24" s="18" t="s">
        <v>76</v>
      </c>
      <c r="G24" s="19">
        <v>0</v>
      </c>
      <c r="H24" s="14"/>
      <c r="I24" s="14"/>
      <c r="J24" s="3"/>
      <c r="K24" s="3"/>
      <c r="L24" s="3"/>
      <c r="P24" s="53">
        <v>45411</v>
      </c>
      <c r="Q24" s="41">
        <v>19096.900390625</v>
      </c>
      <c r="R24" s="41">
        <v>1244.11560058593</v>
      </c>
      <c r="S24" s="41">
        <f t="shared" si="0"/>
        <v>5.3830946028080888E-3</v>
      </c>
      <c r="T24" s="41">
        <f t="shared" si="0"/>
        <v>7.1975754827841984E-3</v>
      </c>
    </row>
    <row r="25" spans="1:20" ht="14.4">
      <c r="A25" s="14"/>
      <c r="B25" s="18" t="s">
        <v>77</v>
      </c>
      <c r="C25" s="20">
        <v>9588</v>
      </c>
      <c r="D25" s="14" t="s">
        <v>16</v>
      </c>
      <c r="E25" s="14"/>
      <c r="F25" s="18" t="s">
        <v>78</v>
      </c>
      <c r="G25" s="20">
        <v>7186.3</v>
      </c>
      <c r="H25" s="26"/>
      <c r="I25" s="26"/>
      <c r="J25" s="3" t="s">
        <v>79</v>
      </c>
      <c r="K25" s="21">
        <f>G9</f>
        <v>27916.400000000001</v>
      </c>
      <c r="L25" s="11" t="str">
        <f t="shared" ref="L25:L26" ca="1" si="2">_xlfn.FORMULATEXT(K25)</f>
        <v>=G9</v>
      </c>
      <c r="M25" s="11" t="s">
        <v>80</v>
      </c>
      <c r="P25" s="53">
        <v>45412</v>
      </c>
      <c r="Q25" s="41">
        <v>18970.599609375</v>
      </c>
      <c r="R25" s="41">
        <v>1225.78112792968</v>
      </c>
      <c r="S25" s="41">
        <f t="shared" si="0"/>
        <v>-6.6136796373511613E-3</v>
      </c>
      <c r="T25" s="41">
        <f t="shared" si="0"/>
        <v>-1.4736952617277026E-2</v>
      </c>
    </row>
    <row r="26" spans="1:20" ht="14.4">
      <c r="A26" s="14"/>
      <c r="B26" s="18" t="s">
        <v>81</v>
      </c>
      <c r="C26" s="20">
        <v>38863.800000000003</v>
      </c>
      <c r="D26" s="14" t="s">
        <v>16</v>
      </c>
      <c r="E26" s="14"/>
      <c r="F26" s="18" t="s">
        <v>82</v>
      </c>
      <c r="G26" s="19" t="s">
        <v>19</v>
      </c>
      <c r="H26" s="14"/>
      <c r="I26" s="14"/>
      <c r="J26" s="3" t="s">
        <v>83</v>
      </c>
      <c r="K26" s="21">
        <f>G14+G15+G17</f>
        <v>8208.7000000000007</v>
      </c>
      <c r="L26" s="11" t="str">
        <f t="shared" ca="1" si="2"/>
        <v>=G14+G15+G17</v>
      </c>
      <c r="M26" s="11" t="s">
        <v>84</v>
      </c>
      <c r="P26" s="53">
        <v>45414</v>
      </c>
      <c r="Q26" s="41">
        <v>19124.44921875</v>
      </c>
      <c r="R26" s="41">
        <v>1242.21887207031</v>
      </c>
      <c r="S26" s="41">
        <f t="shared" si="0"/>
        <v>8.1098970271329604E-3</v>
      </c>
      <c r="T26" s="41">
        <f t="shared" si="0"/>
        <v>1.3410015675794444E-2</v>
      </c>
    </row>
    <row r="27" spans="1:20" ht="14.4">
      <c r="A27" s="14"/>
      <c r="B27" s="18" t="s">
        <v>85</v>
      </c>
      <c r="C27" s="19" t="s">
        <v>19</v>
      </c>
      <c r="D27" s="14" t="s">
        <v>16</v>
      </c>
      <c r="E27" s="14"/>
      <c r="F27" s="18" t="s">
        <v>86</v>
      </c>
      <c r="G27" s="20">
        <v>1945.9</v>
      </c>
      <c r="H27" s="26"/>
      <c r="I27" s="26"/>
      <c r="J27" s="3" t="s">
        <v>87</v>
      </c>
      <c r="K27" s="21">
        <f>K25-K26</f>
        <v>19707.7</v>
      </c>
      <c r="L27" s="11" t="str">
        <f ca="1">_xlfn.FORMULATEXT(K27)</f>
        <v>=K25-K26</v>
      </c>
      <c r="M27" s="11" t="s">
        <v>88</v>
      </c>
      <c r="P27" s="53">
        <v>45415</v>
      </c>
      <c r="Q27" s="41">
        <v>19133.400390625</v>
      </c>
      <c r="R27" s="41">
        <v>1254.47814941406</v>
      </c>
      <c r="S27" s="41">
        <f t="shared" si="0"/>
        <v>4.6804861006005281E-4</v>
      </c>
      <c r="T27" s="41">
        <f t="shared" si="0"/>
        <v>9.8688545306982907E-3</v>
      </c>
    </row>
    <row r="28" spans="1:20" ht="14.4">
      <c r="A28" s="14"/>
      <c r="B28" s="18" t="s">
        <v>89</v>
      </c>
      <c r="C28" s="19" t="s">
        <v>19</v>
      </c>
      <c r="D28" s="14" t="s">
        <v>16</v>
      </c>
      <c r="E28" s="14"/>
      <c r="F28" s="18" t="s">
        <v>90</v>
      </c>
      <c r="G28" s="19">
        <v>0</v>
      </c>
      <c r="H28" s="14"/>
      <c r="I28" s="14"/>
      <c r="J28" s="3" t="s">
        <v>91</v>
      </c>
      <c r="K28" s="21">
        <f>G25+G19</f>
        <v>7357.4000000000005</v>
      </c>
      <c r="L28" s="11" t="str">
        <f ca="1">_xlfn.FORMULATEXT(K28)</f>
        <v>=G25+G19</v>
      </c>
      <c r="M28" s="11" t="s">
        <v>92</v>
      </c>
      <c r="P28" s="53">
        <v>45418</v>
      </c>
      <c r="Q28" s="41">
        <v>19203.30078125</v>
      </c>
      <c r="R28" s="41">
        <v>1243.39440917968</v>
      </c>
      <c r="S28" s="41">
        <f t="shared" si="0"/>
        <v>3.6533177165544422E-3</v>
      </c>
      <c r="T28" s="41">
        <f t="shared" si="0"/>
        <v>-8.8353394114971083E-3</v>
      </c>
    </row>
    <row r="29" spans="1:20" ht="14.4">
      <c r="A29" s="14"/>
      <c r="B29" s="18" t="s">
        <v>93</v>
      </c>
      <c r="C29" s="20">
        <v>6248.7</v>
      </c>
      <c r="D29" s="14" t="s">
        <v>16</v>
      </c>
      <c r="E29" s="14"/>
      <c r="F29" s="18" t="s">
        <v>94</v>
      </c>
      <c r="G29" s="19">
        <v>-322.8</v>
      </c>
      <c r="H29" s="14"/>
      <c r="I29" s="14"/>
      <c r="J29" s="3" t="s">
        <v>95</v>
      </c>
      <c r="K29" s="21">
        <f>G25</f>
        <v>7186.3</v>
      </c>
      <c r="L29" s="11" t="str">
        <f ca="1">_xlfn.FORMULATEXT(K29)</f>
        <v>=G25</v>
      </c>
      <c r="M29" s="11" t="s">
        <v>96</v>
      </c>
      <c r="P29" s="53">
        <v>45419</v>
      </c>
      <c r="Q29" s="41">
        <v>18846.30078125</v>
      </c>
      <c r="R29" s="41">
        <v>1236.31164550781</v>
      </c>
      <c r="S29" s="41">
        <f t="shared" si="0"/>
        <v>-1.8590553992081031E-2</v>
      </c>
      <c r="T29" s="41">
        <f t="shared" si="0"/>
        <v>-5.696312947508584E-3</v>
      </c>
    </row>
    <row r="30" spans="1:20" ht="14.4">
      <c r="A30" s="14"/>
      <c r="B30" s="18" t="s">
        <v>97</v>
      </c>
      <c r="C30" s="20">
        <v>3626.8</v>
      </c>
      <c r="D30" s="14" t="s">
        <v>16</v>
      </c>
      <c r="E30" s="14"/>
      <c r="F30" s="18" t="s">
        <v>98</v>
      </c>
      <c r="G30" s="19">
        <v>0</v>
      </c>
      <c r="H30" s="14"/>
      <c r="I30" s="14"/>
      <c r="P30" s="53">
        <v>45420</v>
      </c>
      <c r="Q30" s="41">
        <v>18850.849609375</v>
      </c>
      <c r="R30" s="41">
        <v>1196.55065917968</v>
      </c>
      <c r="S30" s="41">
        <f t="shared" si="0"/>
        <v>2.4136450849418601E-4</v>
      </c>
      <c r="T30" s="41">
        <f t="shared" si="0"/>
        <v>-3.2160973709665523E-2</v>
      </c>
    </row>
    <row r="31" spans="1:20" ht="14.4">
      <c r="A31" s="14"/>
      <c r="B31" s="18" t="s">
        <v>99</v>
      </c>
      <c r="C31" s="20">
        <v>1351</v>
      </c>
      <c r="D31" s="14" t="s">
        <v>16</v>
      </c>
      <c r="E31" s="14"/>
      <c r="F31" s="18" t="s">
        <v>100</v>
      </c>
      <c r="G31" s="20">
        <v>1623.1</v>
      </c>
      <c r="H31" s="26"/>
      <c r="I31" s="26"/>
      <c r="J31" s="25" t="s">
        <v>11</v>
      </c>
      <c r="K31">
        <f>'DR. REDDY Beta Calc'!H7</f>
        <v>0.8129537936886202</v>
      </c>
      <c r="P31" s="53">
        <v>45421</v>
      </c>
      <c r="Q31" s="41">
        <v>18437.05078125</v>
      </c>
      <c r="R31" s="41">
        <v>1161.18566894531</v>
      </c>
      <c r="S31" s="41">
        <f t="shared" si="0"/>
        <v>-2.1951203086316463E-2</v>
      </c>
      <c r="T31" s="41">
        <f t="shared" si="0"/>
        <v>-2.9555781832601383E-2</v>
      </c>
    </row>
    <row r="32" spans="1:20" ht="14.4">
      <c r="A32" s="14"/>
      <c r="B32" s="18" t="s">
        <v>101</v>
      </c>
      <c r="C32" s="20">
        <v>11294.8</v>
      </c>
      <c r="D32" s="14" t="s">
        <v>16</v>
      </c>
      <c r="E32" s="14"/>
      <c r="F32" s="18" t="s">
        <v>102</v>
      </c>
      <c r="G32" s="20">
        <v>5563.2</v>
      </c>
      <c r="H32" s="26"/>
      <c r="I32" s="26"/>
      <c r="J32" s="25" t="s">
        <v>103</v>
      </c>
      <c r="K32">
        <f>'DR. REDDY Beta Calc'!H10*252</f>
        <v>0.11078640540451196</v>
      </c>
      <c r="P32" s="53">
        <v>45422</v>
      </c>
      <c r="Q32" s="41">
        <v>18609.44921875</v>
      </c>
      <c r="R32" s="41">
        <v>1169.8095703125</v>
      </c>
      <c r="S32" s="41">
        <f t="shared" si="0"/>
        <v>9.3506515518916242E-3</v>
      </c>
      <c r="T32" s="41">
        <f t="shared" si="0"/>
        <v>7.4268065804006861E-3</v>
      </c>
    </row>
    <row r="33" spans="1:20" ht="14.4">
      <c r="A33" s="14"/>
      <c r="B33" s="18" t="s">
        <v>104</v>
      </c>
      <c r="C33" s="19">
        <v>525.5</v>
      </c>
      <c r="D33" s="14" t="s">
        <v>16</v>
      </c>
      <c r="E33" s="14"/>
      <c r="F33" s="18" t="s">
        <v>105</v>
      </c>
      <c r="G33" s="20">
        <v>5563.2</v>
      </c>
      <c r="H33" s="26"/>
      <c r="I33" s="26"/>
      <c r="J33" s="25" t="s">
        <v>106</v>
      </c>
      <c r="K33" s="25">
        <f>6.7/100</f>
        <v>6.7000000000000004E-2</v>
      </c>
      <c r="L33" s="22" t="s">
        <v>107</v>
      </c>
      <c r="M33" s="22" t="s">
        <v>108</v>
      </c>
      <c r="P33" s="53">
        <v>45425</v>
      </c>
      <c r="Q33" s="41">
        <v>18939</v>
      </c>
      <c r="R33" s="41">
        <v>1167.34973144531</v>
      </c>
      <c r="S33" s="41">
        <f t="shared" si="0"/>
        <v>1.7708787475448774E-2</v>
      </c>
      <c r="T33" s="41">
        <f t="shared" si="0"/>
        <v>-2.1027686297120018E-3</v>
      </c>
    </row>
    <row r="34" spans="1:20" ht="14.4">
      <c r="A34" s="14"/>
      <c r="B34" s="18" t="s">
        <v>109</v>
      </c>
      <c r="C34" s="20">
        <v>1057.8</v>
      </c>
      <c r="D34" s="14" t="s">
        <v>16</v>
      </c>
      <c r="E34" s="14"/>
      <c r="F34" s="18" t="s">
        <v>110</v>
      </c>
      <c r="G34" s="20">
        <v>5563.2</v>
      </c>
      <c r="H34" s="26"/>
      <c r="I34" s="26"/>
      <c r="P34" s="53">
        <v>45426</v>
      </c>
      <c r="Q34" s="41">
        <v>18860.849609375</v>
      </c>
      <c r="R34" s="41">
        <v>1159.49658203125</v>
      </c>
      <c r="S34" s="41">
        <f t="shared" si="0"/>
        <v>-4.1264264546702571E-3</v>
      </c>
      <c r="T34" s="41">
        <f t="shared" si="0"/>
        <v>-6.72733218033718E-3</v>
      </c>
    </row>
    <row r="35" spans="1:20" ht="14.4">
      <c r="A35" s="14"/>
      <c r="B35" s="18" t="s">
        <v>111</v>
      </c>
      <c r="C35" s="19">
        <v>0</v>
      </c>
      <c r="D35" s="14" t="s">
        <v>16</v>
      </c>
      <c r="E35" s="14"/>
      <c r="F35" s="18" t="s">
        <v>33</v>
      </c>
      <c r="G35" s="19">
        <v>0</v>
      </c>
      <c r="H35" s="14"/>
      <c r="I35" s="14"/>
      <c r="P35" s="53">
        <v>45427</v>
      </c>
      <c r="Q35" s="41">
        <v>18886.55078125</v>
      </c>
      <c r="R35" s="41">
        <v>1160.72143554687</v>
      </c>
      <c r="S35" s="41">
        <f t="shared" si="0"/>
        <v>1.3626730718548829E-3</v>
      </c>
      <c r="T35" s="41">
        <f t="shared" si="0"/>
        <v>1.0563666461821327E-3</v>
      </c>
    </row>
    <row r="36" spans="1:20" ht="14.4">
      <c r="A36" s="14"/>
      <c r="B36" s="18" t="s">
        <v>112</v>
      </c>
      <c r="C36" s="19">
        <v>630.29999999999995</v>
      </c>
      <c r="D36" s="14" t="s">
        <v>16</v>
      </c>
      <c r="E36" s="14"/>
      <c r="F36" s="18" t="s">
        <v>113</v>
      </c>
      <c r="G36" s="20">
        <v>5577.9</v>
      </c>
      <c r="H36" s="26"/>
      <c r="I36" s="26"/>
      <c r="P36" s="53">
        <v>45428</v>
      </c>
      <c r="Q36" s="41">
        <v>18996.150390625</v>
      </c>
      <c r="R36" s="41">
        <v>1155.86108398437</v>
      </c>
      <c r="S36" s="41">
        <f t="shared" si="0"/>
        <v>5.8030505752171115E-3</v>
      </c>
      <c r="T36" s="41">
        <f t="shared" si="0"/>
        <v>-4.1873540141955439E-3</v>
      </c>
    </row>
    <row r="37" spans="1:20" ht="14.4">
      <c r="A37" s="14"/>
      <c r="B37" s="18" t="s">
        <v>114</v>
      </c>
      <c r="C37" s="20">
        <v>14058.5</v>
      </c>
      <c r="D37" s="14" t="s">
        <v>16</v>
      </c>
      <c r="E37" s="14"/>
      <c r="F37" s="18" t="s">
        <v>115</v>
      </c>
      <c r="G37" s="19" t="s">
        <v>19</v>
      </c>
      <c r="H37" s="14"/>
      <c r="I37" s="14"/>
      <c r="P37" s="53">
        <v>45429</v>
      </c>
      <c r="Q37" s="41">
        <v>18981.599609375</v>
      </c>
      <c r="R37" s="41">
        <v>1145.81481933593</v>
      </c>
      <c r="S37" s="41">
        <f t="shared" si="0"/>
        <v>-7.6598578926713055E-4</v>
      </c>
      <c r="T37" s="41">
        <f t="shared" si="0"/>
        <v>-8.6915848172771006E-3</v>
      </c>
    </row>
    <row r="38" spans="1:20" ht="14.4">
      <c r="A38" s="14"/>
      <c r="B38" s="18" t="s">
        <v>116</v>
      </c>
      <c r="C38" s="19" t="s">
        <v>19</v>
      </c>
      <c r="D38" s="14" t="s">
        <v>16</v>
      </c>
      <c r="E38" s="14"/>
      <c r="F38" s="18" t="s">
        <v>117</v>
      </c>
      <c r="G38" s="19" t="s">
        <v>19</v>
      </c>
      <c r="H38" s="14"/>
      <c r="I38" s="14"/>
      <c r="P38" s="53">
        <v>45433</v>
      </c>
      <c r="Q38" s="41">
        <v>19205.19921875</v>
      </c>
      <c r="R38" s="41">
        <v>1141.91271972656</v>
      </c>
      <c r="S38" s="41">
        <f t="shared" si="0"/>
        <v>1.17798085502006E-2</v>
      </c>
      <c r="T38" s="41">
        <f t="shared" si="0"/>
        <v>-3.4055237753265436E-3</v>
      </c>
    </row>
    <row r="39" spans="1:20" ht="14.4">
      <c r="A39" s="14"/>
      <c r="B39" s="18" t="s">
        <v>118</v>
      </c>
      <c r="C39" s="20">
        <v>4405</v>
      </c>
      <c r="D39" s="14" t="s">
        <v>16</v>
      </c>
      <c r="E39" s="14"/>
      <c r="F39" s="18" t="s">
        <v>119</v>
      </c>
      <c r="G39" s="19">
        <v>335</v>
      </c>
      <c r="H39" s="14"/>
      <c r="I39" s="14"/>
      <c r="P39" s="53">
        <v>45434</v>
      </c>
      <c r="Q39" s="41">
        <v>19317.400390625</v>
      </c>
      <c r="R39" s="41">
        <v>1160.27697753906</v>
      </c>
      <c r="S39" s="41">
        <f t="shared" si="0"/>
        <v>5.842229002522307E-3</v>
      </c>
      <c r="T39" s="41">
        <f t="shared" si="0"/>
        <v>1.6082015284756147E-2</v>
      </c>
    </row>
    <row r="40" spans="1:20" ht="14.4">
      <c r="A40" s="14"/>
      <c r="B40" s="18" t="s">
        <v>120</v>
      </c>
      <c r="C40" s="20">
        <v>6355.2</v>
      </c>
      <c r="D40" s="14" t="s">
        <v>16</v>
      </c>
      <c r="E40" s="14"/>
      <c r="F40" s="18" t="s">
        <v>121</v>
      </c>
      <c r="G40" s="19">
        <v>335</v>
      </c>
      <c r="H40" s="14"/>
      <c r="I40" s="14"/>
      <c r="P40" s="53">
        <v>45435</v>
      </c>
      <c r="Q40" s="41">
        <v>19216.349609375</v>
      </c>
      <c r="R40" s="41">
        <v>1165.20629882812</v>
      </c>
      <c r="S40" s="41">
        <f t="shared" si="0"/>
        <v>-5.2310755695182121E-3</v>
      </c>
      <c r="T40" s="41">
        <f t="shared" si="0"/>
        <v>4.2484004978837536E-3</v>
      </c>
    </row>
    <row r="41" spans="1:20" ht="14.4">
      <c r="A41" s="14"/>
      <c r="B41" s="18" t="s">
        <v>122</v>
      </c>
      <c r="C41" s="20">
        <v>8029.8</v>
      </c>
      <c r="D41" s="14" t="s">
        <v>16</v>
      </c>
      <c r="E41" s="14"/>
      <c r="F41" s="18" t="s">
        <v>123</v>
      </c>
      <c r="G41" s="19" t="s">
        <v>19</v>
      </c>
      <c r="H41" s="14"/>
      <c r="I41" s="14"/>
      <c r="P41" s="53">
        <v>45436</v>
      </c>
      <c r="Q41" s="41">
        <v>19119.5</v>
      </c>
      <c r="R41" s="41">
        <v>1158.89392089843</v>
      </c>
      <c r="S41" s="41">
        <f t="shared" si="0"/>
        <v>-5.0399587509456214E-3</v>
      </c>
      <c r="T41" s="41">
        <f t="shared" si="0"/>
        <v>-5.4173908397496078E-3</v>
      </c>
    </row>
    <row r="42" spans="1:20" ht="14.4">
      <c r="A42" s="14"/>
      <c r="B42" s="18" t="s">
        <v>124</v>
      </c>
      <c r="C42" s="20">
        <v>1727.7</v>
      </c>
      <c r="D42" s="14" t="s">
        <v>16</v>
      </c>
      <c r="E42" s="14"/>
      <c r="F42" s="18" t="s">
        <v>125</v>
      </c>
      <c r="G42" s="19">
        <v>664.8</v>
      </c>
      <c r="H42" s="14"/>
      <c r="I42" s="14"/>
      <c r="P42" s="53">
        <v>45439</v>
      </c>
      <c r="Q42" s="41">
        <v>19111.94921875</v>
      </c>
      <c r="R42" s="41">
        <v>1160.26696777343</v>
      </c>
      <c r="S42" s="41">
        <f t="shared" si="0"/>
        <v>-3.9492566489709459E-4</v>
      </c>
      <c r="T42" s="41">
        <f t="shared" si="0"/>
        <v>1.1847908166914434E-3</v>
      </c>
    </row>
    <row r="43" spans="1:20" ht="14.4">
      <c r="A43" s="14"/>
      <c r="B43" s="18" t="s">
        <v>126</v>
      </c>
      <c r="C43" s="19">
        <v>0</v>
      </c>
      <c r="D43" s="14" t="s">
        <v>16</v>
      </c>
      <c r="E43" s="14"/>
      <c r="F43" s="18" t="s">
        <v>127</v>
      </c>
      <c r="G43" s="19">
        <v>0</v>
      </c>
      <c r="H43" s="14"/>
      <c r="I43" s="14"/>
      <c r="P43" s="53">
        <v>45440</v>
      </c>
      <c r="Q43" s="41">
        <v>19215.75</v>
      </c>
      <c r="R43" s="41">
        <v>1178.56201171875</v>
      </c>
      <c r="S43" s="41">
        <f t="shared" si="0"/>
        <v>5.4311980458887485E-3</v>
      </c>
      <c r="T43" s="41">
        <f t="shared" si="0"/>
        <v>1.5767960696518382E-2</v>
      </c>
    </row>
    <row r="44" spans="1:20" ht="14.4">
      <c r="A44" s="14"/>
      <c r="B44" s="18" t="s">
        <v>128</v>
      </c>
      <c r="C44" s="20">
        <v>4287.6000000000004</v>
      </c>
      <c r="D44" s="14" t="s">
        <v>16</v>
      </c>
      <c r="E44" s="14"/>
      <c r="F44" s="14"/>
      <c r="G44" s="14"/>
      <c r="H44" s="14"/>
      <c r="I44" s="14"/>
      <c r="P44" s="53">
        <v>45441</v>
      </c>
      <c r="Q44" s="41">
        <v>19321.349609375</v>
      </c>
      <c r="R44" s="41">
        <v>1185.56579589843</v>
      </c>
      <c r="S44" s="41">
        <f t="shared" si="0"/>
        <v>5.4954716508593213E-3</v>
      </c>
      <c r="T44" s="41">
        <f t="shared" si="0"/>
        <v>5.9426522406454138E-3</v>
      </c>
    </row>
    <row r="45" spans="1:20" ht="14.4">
      <c r="A45" s="14"/>
      <c r="B45" s="18" t="s">
        <v>129</v>
      </c>
      <c r="C45" s="20">
        <v>24805.3</v>
      </c>
      <c r="D45" s="14" t="s">
        <v>16</v>
      </c>
      <c r="E45" s="14"/>
      <c r="F45" s="14"/>
      <c r="G45" s="14"/>
      <c r="H45" s="14"/>
      <c r="I45" s="14"/>
      <c r="P45" s="53">
        <v>45442</v>
      </c>
      <c r="Q45" s="41">
        <v>18971</v>
      </c>
      <c r="R45" s="41">
        <v>1160.47448730468</v>
      </c>
      <c r="S45" s="41">
        <f t="shared" si="0"/>
        <v>-1.8132771077492706E-2</v>
      </c>
      <c r="T45" s="41">
        <f t="shared" si="0"/>
        <v>-2.1163995014494858E-2</v>
      </c>
    </row>
    <row r="46" spans="1:20" ht="14.4">
      <c r="A46" s="14"/>
      <c r="B46" s="18" t="s">
        <v>130</v>
      </c>
      <c r="C46" s="20">
        <v>38863.800000000003</v>
      </c>
      <c r="D46" s="14" t="s">
        <v>16</v>
      </c>
      <c r="E46" s="14"/>
      <c r="F46" s="14"/>
      <c r="G46" s="14"/>
      <c r="H46" s="14"/>
      <c r="I46" s="14"/>
      <c r="P46" s="53">
        <v>45443</v>
      </c>
      <c r="Q46" s="41">
        <v>18796.30078125</v>
      </c>
      <c r="R46" s="41">
        <v>1144.29345703125</v>
      </c>
      <c r="S46" s="41">
        <f t="shared" si="0"/>
        <v>-9.2087511860207694E-3</v>
      </c>
      <c r="T46" s="41">
        <f t="shared" si="0"/>
        <v>-1.3943460584826888E-2</v>
      </c>
    </row>
    <row r="47" spans="1:20" ht="14.4">
      <c r="A47" s="14"/>
      <c r="B47" s="18" t="s">
        <v>115</v>
      </c>
      <c r="C47" s="19" t="s">
        <v>19</v>
      </c>
      <c r="D47" s="14" t="s">
        <v>16</v>
      </c>
      <c r="E47" s="14"/>
      <c r="F47" s="14"/>
      <c r="G47" s="14"/>
      <c r="H47" s="14"/>
      <c r="I47" s="14"/>
      <c r="P47" s="53">
        <v>45446</v>
      </c>
      <c r="Q47" s="41">
        <v>18864.150390625</v>
      </c>
      <c r="R47" s="41">
        <v>1142.60424804687</v>
      </c>
      <c r="S47" s="41">
        <f t="shared" si="0"/>
        <v>3.6097320512492796E-3</v>
      </c>
      <c r="T47" s="41">
        <f t="shared" si="0"/>
        <v>-1.4762026069453187E-3</v>
      </c>
    </row>
    <row r="48" spans="1:20" ht="14.4">
      <c r="A48" s="14"/>
      <c r="B48" s="18" t="s">
        <v>131</v>
      </c>
      <c r="C48" s="19" t="s">
        <v>19</v>
      </c>
      <c r="D48" s="14" t="s">
        <v>16</v>
      </c>
      <c r="E48" s="14"/>
      <c r="F48" s="14"/>
      <c r="G48" s="14"/>
      <c r="H48" s="14"/>
      <c r="I48" s="14"/>
      <c r="P48" s="53">
        <v>45447</v>
      </c>
      <c r="Q48" s="41">
        <v>18603.150390625</v>
      </c>
      <c r="R48" s="41">
        <v>1132.23193359375</v>
      </c>
      <c r="S48" s="41">
        <f t="shared" si="0"/>
        <v>-1.3835767558856524E-2</v>
      </c>
      <c r="T48" s="41">
        <f t="shared" si="0"/>
        <v>-9.0777839053636372E-3</v>
      </c>
    </row>
    <row r="49" spans="1:20" ht="14.4">
      <c r="A49" s="14"/>
      <c r="B49" s="18" t="s">
        <v>132</v>
      </c>
      <c r="C49" s="20">
        <v>2091.8000000000002</v>
      </c>
      <c r="D49" s="14" t="s">
        <v>16</v>
      </c>
      <c r="E49" s="14"/>
      <c r="F49" s="14"/>
      <c r="G49" s="14"/>
      <c r="H49" s="14"/>
      <c r="I49" s="14"/>
      <c r="P49" s="53">
        <v>45448</v>
      </c>
      <c r="Q49" s="41">
        <v>19281.25</v>
      </c>
      <c r="R49" s="41">
        <v>1150.67492675781</v>
      </c>
      <c r="S49" s="41">
        <f t="shared" si="0"/>
        <v>3.6450794362052043E-2</v>
      </c>
      <c r="T49" s="41">
        <f t="shared" si="0"/>
        <v>1.6289059349811123E-2</v>
      </c>
    </row>
    <row r="50" spans="1:20" ht="14.4">
      <c r="A50" s="14"/>
      <c r="B50" s="18" t="s">
        <v>133</v>
      </c>
      <c r="C50" s="19" t="s">
        <v>19</v>
      </c>
      <c r="D50" s="14" t="s">
        <v>16</v>
      </c>
      <c r="E50" s="14"/>
      <c r="F50" s="14"/>
      <c r="G50" s="14"/>
      <c r="H50" s="14"/>
      <c r="I50" s="14"/>
      <c r="P50" s="53">
        <v>45449</v>
      </c>
      <c r="Q50" s="41">
        <v>19232.099609375</v>
      </c>
      <c r="R50" s="41">
        <v>1163.87255859375</v>
      </c>
      <c r="S50" s="41">
        <f t="shared" si="0"/>
        <v>-2.5491288492706645E-3</v>
      </c>
      <c r="T50" s="41">
        <f t="shared" si="0"/>
        <v>1.1469470246584935E-2</v>
      </c>
    </row>
    <row r="51" spans="1:20" ht="14.4">
      <c r="A51" s="14"/>
      <c r="B51" s="18" t="s">
        <v>134</v>
      </c>
      <c r="C51" s="19">
        <v>55.87</v>
      </c>
      <c r="D51" s="14" t="s">
        <v>16</v>
      </c>
      <c r="E51" s="14"/>
      <c r="F51" s="14"/>
      <c r="G51" s="14"/>
      <c r="H51" s="14"/>
      <c r="I51" s="14"/>
      <c r="P51" s="53">
        <v>45450</v>
      </c>
      <c r="Q51" s="41">
        <v>19578</v>
      </c>
      <c r="R51" s="41">
        <v>1197.52868652343</v>
      </c>
      <c r="S51" s="41">
        <f t="shared" si="0"/>
        <v>1.7985576075967558E-2</v>
      </c>
      <c r="T51" s="41">
        <f t="shared" si="0"/>
        <v>2.8917365291561681E-2</v>
      </c>
    </row>
    <row r="52" spans="1:20" ht="14.4">
      <c r="A52" s="14"/>
      <c r="B52" s="18" t="s">
        <v>135</v>
      </c>
      <c r="C52" s="19" t="s">
        <v>19</v>
      </c>
      <c r="D52" s="14" t="s">
        <v>16</v>
      </c>
      <c r="E52" s="14"/>
      <c r="F52" s="14"/>
      <c r="G52" s="14"/>
      <c r="H52" s="14"/>
      <c r="I52" s="14"/>
      <c r="P52" s="53">
        <v>45453</v>
      </c>
      <c r="Q52" s="41">
        <v>19774.69921875</v>
      </c>
      <c r="R52" s="41">
        <v>1206.38952636718</v>
      </c>
      <c r="S52" s="41">
        <f t="shared" si="0"/>
        <v>1.0046951616610482E-2</v>
      </c>
      <c r="T52" s="41">
        <f t="shared" si="0"/>
        <v>7.3992714692072093E-3</v>
      </c>
    </row>
    <row r="53" spans="1:20" ht="14.4">
      <c r="A53" s="14"/>
      <c r="B53" s="18" t="s">
        <v>136</v>
      </c>
      <c r="C53" s="19">
        <v>0</v>
      </c>
      <c r="D53" s="14" t="s">
        <v>16</v>
      </c>
      <c r="E53" s="14"/>
      <c r="F53" s="14"/>
      <c r="G53" s="14"/>
      <c r="H53" s="14"/>
      <c r="I53" s="14"/>
      <c r="P53" s="53">
        <v>45454</v>
      </c>
      <c r="Q53" s="41">
        <v>19689.69921875</v>
      </c>
      <c r="R53" s="41">
        <v>1193.17224121093</v>
      </c>
      <c r="S53" s="41">
        <f t="shared" si="0"/>
        <v>-4.2984218905036285E-3</v>
      </c>
      <c r="T53" s="41">
        <f t="shared" si="0"/>
        <v>-1.0956067561404832E-2</v>
      </c>
    </row>
    <row r="54" spans="1:20" ht="14.4">
      <c r="A54" s="14"/>
      <c r="B54" s="18" t="s">
        <v>137</v>
      </c>
      <c r="C54" s="19">
        <v>0</v>
      </c>
      <c r="D54" s="14" t="s">
        <v>16</v>
      </c>
      <c r="E54" s="14"/>
      <c r="F54" s="14"/>
      <c r="G54" s="14"/>
      <c r="H54" s="14"/>
      <c r="I54" s="14"/>
      <c r="P54" s="53">
        <v>45455</v>
      </c>
      <c r="Q54" s="41">
        <v>19739.099609375</v>
      </c>
      <c r="R54" s="41">
        <v>1197.28161621093</v>
      </c>
      <c r="S54" s="41">
        <f t="shared" si="0"/>
        <v>2.5089459252865204E-3</v>
      </c>
      <c r="T54" s="41">
        <f t="shared" si="0"/>
        <v>3.4440752626204796E-3</v>
      </c>
    </row>
    <row r="55" spans="1:20" ht="14.4">
      <c r="A55" s="14"/>
      <c r="B55" s="18" t="s">
        <v>138</v>
      </c>
      <c r="C55" s="19" t="s">
        <v>19</v>
      </c>
      <c r="D55" s="14" t="s">
        <v>16</v>
      </c>
      <c r="E55" s="14"/>
      <c r="F55" s="14"/>
      <c r="G55" s="14"/>
      <c r="H55" s="14"/>
      <c r="I55" s="14"/>
      <c r="P55" s="53">
        <v>45456</v>
      </c>
      <c r="Q55" s="41">
        <v>19838.5</v>
      </c>
      <c r="R55" s="41">
        <v>1204.35473632812</v>
      </c>
      <c r="S55" s="41">
        <f t="shared" si="0"/>
        <v>5.0357104727203573E-3</v>
      </c>
      <c r="T55" s="41">
        <f t="shared" si="0"/>
        <v>5.9076494798061784E-3</v>
      </c>
    </row>
    <row r="56" spans="1:20" ht="14.4">
      <c r="A56" s="14"/>
      <c r="B56" s="18" t="s">
        <v>139</v>
      </c>
      <c r="C56" s="19">
        <v>0</v>
      </c>
      <c r="D56" s="14" t="s">
        <v>16</v>
      </c>
      <c r="E56" s="14"/>
      <c r="F56" s="14"/>
      <c r="G56" s="14"/>
      <c r="H56" s="14"/>
      <c r="I56" s="14"/>
      <c r="P56" s="53">
        <v>45457</v>
      </c>
      <c r="Q56" s="41">
        <v>19895.650390625</v>
      </c>
      <c r="R56" s="41">
        <v>1202.26049804687</v>
      </c>
      <c r="S56" s="41">
        <f t="shared" si="0"/>
        <v>2.8807818446455126E-3</v>
      </c>
      <c r="T56" s="41">
        <f t="shared" si="0"/>
        <v>-1.7388882345703135E-3</v>
      </c>
    </row>
    <row r="57" spans="1:20" ht="14.4">
      <c r="A57" s="14"/>
      <c r="B57" s="18" t="s">
        <v>140</v>
      </c>
      <c r="C57" s="19">
        <v>0</v>
      </c>
      <c r="D57" s="14"/>
      <c r="E57" s="14"/>
      <c r="F57" s="14"/>
      <c r="G57" s="14"/>
      <c r="H57" s="14"/>
      <c r="I57" s="14"/>
      <c r="P57" s="53">
        <v>45461</v>
      </c>
      <c r="Q57" s="41">
        <v>19826.650390625</v>
      </c>
      <c r="R57" s="41">
        <v>1183.68896484375</v>
      </c>
      <c r="S57" s="41">
        <f t="shared" si="0"/>
        <v>-3.4680947164468364E-3</v>
      </c>
      <c r="T57" s="41">
        <f t="shared" si="0"/>
        <v>-1.544717907083394E-2</v>
      </c>
    </row>
    <row r="58" spans="1:20" ht="14.4">
      <c r="P58" s="53">
        <v>45462</v>
      </c>
      <c r="Q58" s="41">
        <v>19644.5</v>
      </c>
      <c r="R58" s="41">
        <v>1176.76403808593</v>
      </c>
      <c r="S58" s="41">
        <f t="shared" si="0"/>
        <v>-9.1871489654717226E-3</v>
      </c>
      <c r="T58" s="41">
        <f t="shared" si="0"/>
        <v>-5.8502925713547656E-3</v>
      </c>
    </row>
    <row r="59" spans="1:20" ht="14.4">
      <c r="P59" s="53">
        <v>45463</v>
      </c>
      <c r="Q59" s="41">
        <v>19544.55078125</v>
      </c>
      <c r="R59" s="41">
        <v>1179.64868164062</v>
      </c>
      <c r="S59" s="41">
        <f t="shared" si="0"/>
        <v>-5.0878983303214642E-3</v>
      </c>
      <c r="T59" s="41">
        <f t="shared" si="0"/>
        <v>2.4513355790359032E-3</v>
      </c>
    </row>
    <row r="60" spans="1:20" ht="15" customHeight="1">
      <c r="P60" s="53">
        <v>45464</v>
      </c>
      <c r="Q60" s="41">
        <v>19528.400390625</v>
      </c>
      <c r="R60" s="41">
        <v>1187.67980957031</v>
      </c>
      <c r="S60" s="41">
        <f t="shared" si="0"/>
        <v>-8.2633726432299601E-4</v>
      </c>
      <c r="T60" s="41">
        <f t="shared" si="0"/>
        <v>6.8080675667950129E-3</v>
      </c>
    </row>
    <row r="61" spans="1:20" ht="15" customHeight="1">
      <c r="P61" s="53">
        <v>45467</v>
      </c>
      <c r="Q61" s="41">
        <v>19521.150390625</v>
      </c>
      <c r="R61" s="41">
        <v>1196.27404785156</v>
      </c>
      <c r="S61" s="41">
        <f t="shared" si="0"/>
        <v>-3.7125416598281691E-4</v>
      </c>
      <c r="T61" s="41">
        <f t="shared" si="0"/>
        <v>7.2361576007251519E-3</v>
      </c>
    </row>
    <row r="62" spans="1:20" ht="15" customHeight="1">
      <c r="P62" s="53">
        <v>45468</v>
      </c>
      <c r="Q62" s="41">
        <v>19532.30078125</v>
      </c>
      <c r="R62" s="41">
        <v>1200.90710449218</v>
      </c>
      <c r="S62" s="41">
        <f t="shared" si="0"/>
        <v>5.7119536512330522E-4</v>
      </c>
      <c r="T62" s="41">
        <f t="shared" si="0"/>
        <v>3.8729057517720988E-3</v>
      </c>
    </row>
    <row r="63" spans="1:20" ht="15" customHeight="1">
      <c r="P63" s="53">
        <v>45469</v>
      </c>
      <c r="Q63" s="41">
        <v>19545.349609375</v>
      </c>
      <c r="R63" s="41">
        <v>1199.25744628906</v>
      </c>
      <c r="S63" s="41">
        <f t="shared" si="0"/>
        <v>6.6806405815367134E-4</v>
      </c>
      <c r="T63" s="41">
        <f t="shared" si="0"/>
        <v>-1.3736767789525055E-3</v>
      </c>
    </row>
    <row r="64" spans="1:20" ht="15" customHeight="1">
      <c r="P64" s="53">
        <v>45470</v>
      </c>
      <c r="Q64" s="41">
        <v>19514.80078125</v>
      </c>
      <c r="R64" s="41">
        <v>1232.02429199218</v>
      </c>
      <c r="S64" s="41">
        <f t="shared" si="0"/>
        <v>-1.5629716907364574E-3</v>
      </c>
      <c r="T64" s="41">
        <f t="shared" si="0"/>
        <v>2.7322611841612967E-2</v>
      </c>
    </row>
    <row r="65" spans="16:20" ht="15" customHeight="1">
      <c r="P65" s="53">
        <v>45471</v>
      </c>
      <c r="Q65" s="41">
        <v>19731.55078125</v>
      </c>
      <c r="R65" s="41">
        <v>1264.90979003906</v>
      </c>
      <c r="S65" s="41">
        <f t="shared" si="0"/>
        <v>1.1106954276891998E-2</v>
      </c>
      <c r="T65" s="41">
        <f t="shared" si="0"/>
        <v>2.6692248083602509E-2</v>
      </c>
    </row>
    <row r="66" spans="16:20" ht="15" customHeight="1">
      <c r="P66" s="53">
        <v>45474</v>
      </c>
      <c r="Q66" s="41">
        <v>19758.25</v>
      </c>
      <c r="R66" s="41">
        <v>1255.29797363281</v>
      </c>
      <c r="S66" s="41">
        <f t="shared" si="0"/>
        <v>1.353123180534348E-3</v>
      </c>
      <c r="T66" s="41">
        <f t="shared" si="0"/>
        <v>-7.5988157273675543E-3</v>
      </c>
    </row>
    <row r="67" spans="16:20" ht="15" customHeight="1">
      <c r="P67" s="53">
        <v>45475</v>
      </c>
      <c r="Q67" s="41">
        <v>19786.400390625</v>
      </c>
      <c r="R67" s="41">
        <v>1258.56774902343</v>
      </c>
      <c r="S67" s="41">
        <f t="shared" si="0"/>
        <v>1.4247410891652854E-3</v>
      </c>
      <c r="T67" s="41">
        <f t="shared" si="0"/>
        <v>2.6047802667579605E-3</v>
      </c>
    </row>
    <row r="68" spans="16:20" ht="15" customHeight="1">
      <c r="P68" s="53">
        <v>45476</v>
      </c>
      <c r="Q68" s="41">
        <v>19915.30078125</v>
      </c>
      <c r="R68" s="41">
        <v>1269.5625</v>
      </c>
      <c r="S68" s="41">
        <f t="shared" si="0"/>
        <v>6.514595281619507E-3</v>
      </c>
      <c r="T68" s="41">
        <f t="shared" si="0"/>
        <v>8.73592302448656E-3</v>
      </c>
    </row>
    <row r="69" spans="16:20" ht="15" customHeight="1">
      <c r="P69" s="53">
        <v>45477</v>
      </c>
      <c r="Q69" s="41">
        <v>20192.599609375</v>
      </c>
      <c r="R69" s="41">
        <v>1280.12255859375</v>
      </c>
      <c r="S69" s="41">
        <f t="shared" si="0"/>
        <v>1.3923908615333255E-2</v>
      </c>
      <c r="T69" s="41">
        <f t="shared" si="0"/>
        <v>8.317872175454143E-3</v>
      </c>
    </row>
    <row r="70" spans="16:20" ht="15" customHeight="1">
      <c r="P70" s="53">
        <v>45478</v>
      </c>
      <c r="Q70" s="41">
        <v>20453.849609375</v>
      </c>
      <c r="R70" s="41">
        <v>1288.15380859375</v>
      </c>
      <c r="S70" s="41">
        <f t="shared" si="0"/>
        <v>1.2937908196758732E-2</v>
      </c>
      <c r="T70" s="41">
        <f t="shared" si="0"/>
        <v>6.273813351764186E-3</v>
      </c>
    </row>
    <row r="71" spans="16:20" ht="15" customHeight="1">
      <c r="P71" s="53">
        <v>45481</v>
      </c>
      <c r="Q71" s="41">
        <v>20325.80078125</v>
      </c>
      <c r="R71" s="41">
        <v>1290.94934082031</v>
      </c>
      <c r="S71" s="41">
        <f t="shared" si="0"/>
        <v>-6.2603779029600844E-3</v>
      </c>
      <c r="T71" s="41">
        <f t="shared" si="0"/>
        <v>2.1701851191293854E-3</v>
      </c>
    </row>
    <row r="72" spans="16:20" ht="15" customHeight="1">
      <c r="P72" s="53">
        <v>45482</v>
      </c>
      <c r="Q72" s="41">
        <v>20645.80078125</v>
      </c>
      <c r="R72" s="41">
        <v>1300.57104492187</v>
      </c>
      <c r="S72" s="41">
        <f t="shared" ref="S72:T135" si="3">(Q72-Q71)/Q71</f>
        <v>1.5743537164606636E-2</v>
      </c>
      <c r="T72" s="41">
        <f t="shared" si="3"/>
        <v>7.4532003676039404E-3</v>
      </c>
    </row>
    <row r="73" spans="16:20" ht="15" customHeight="1">
      <c r="P73" s="53">
        <v>45483</v>
      </c>
      <c r="Q73" s="41">
        <v>20725.94921875</v>
      </c>
      <c r="R73" s="41">
        <v>1302.48742675781</v>
      </c>
      <c r="S73" s="41">
        <f t="shared" si="3"/>
        <v>3.8820696929706311E-3</v>
      </c>
      <c r="T73" s="41">
        <f t="shared" si="3"/>
        <v>1.4734926195862873E-3</v>
      </c>
    </row>
    <row r="74" spans="16:20" ht="15" customHeight="1">
      <c r="P74" s="53">
        <v>45484</v>
      </c>
      <c r="Q74" s="41">
        <v>20601.69921875</v>
      </c>
      <c r="R74" s="41">
        <v>1302.92211914062</v>
      </c>
      <c r="S74" s="41">
        <f t="shared" si="3"/>
        <v>-5.9949003391167061E-3</v>
      </c>
      <c r="T74" s="41">
        <f t="shared" si="3"/>
        <v>3.3374017582039005E-4</v>
      </c>
    </row>
    <row r="75" spans="16:20" ht="15" customHeight="1">
      <c r="P75" s="53">
        <v>45485</v>
      </c>
      <c r="Q75" s="41">
        <v>20612.650390625</v>
      </c>
      <c r="R75" s="41">
        <v>1327.55908203125</v>
      </c>
      <c r="S75" s="41">
        <f t="shared" si="3"/>
        <v>5.3156643822045171E-4</v>
      </c>
      <c r="T75" s="41">
        <f t="shared" si="3"/>
        <v>1.8909006554344188E-2</v>
      </c>
    </row>
    <row r="76" spans="16:20" ht="15" customHeight="1">
      <c r="P76" s="53">
        <v>45488</v>
      </c>
      <c r="Q76" s="41">
        <v>20844.55078125</v>
      </c>
      <c r="R76" s="41">
        <v>1342.43603515625</v>
      </c>
      <c r="S76" s="41">
        <f t="shared" si="3"/>
        <v>1.125039168812917E-2</v>
      </c>
      <c r="T76" s="41">
        <f t="shared" si="3"/>
        <v>1.1206245602446043E-2</v>
      </c>
    </row>
    <row r="77" spans="16:20" ht="15" customHeight="1">
      <c r="P77" s="53">
        <v>45489</v>
      </c>
      <c r="Q77" s="41">
        <v>20765.44921875</v>
      </c>
      <c r="R77" s="41">
        <v>1320.8330078125</v>
      </c>
      <c r="S77" s="41">
        <f t="shared" si="3"/>
        <v>-3.7948317202956034E-3</v>
      </c>
      <c r="T77" s="41">
        <f t="shared" si="3"/>
        <v>-1.6092407219414042E-2</v>
      </c>
    </row>
    <row r="78" spans="16:20" ht="15" customHeight="1">
      <c r="P78" s="53">
        <v>45491</v>
      </c>
      <c r="Q78" s="41">
        <v>20768.349609375</v>
      </c>
      <c r="R78" s="41">
        <v>1325.09606933593</v>
      </c>
      <c r="S78" s="41">
        <f t="shared" si="3"/>
        <v>1.3967386857112221E-4</v>
      </c>
      <c r="T78" s="41">
        <f t="shared" si="3"/>
        <v>3.2275552611228833E-3</v>
      </c>
    </row>
    <row r="79" spans="16:20" ht="15" customHeight="1">
      <c r="P79" s="53">
        <v>45492</v>
      </c>
      <c r="Q79" s="41">
        <v>20425.400390625</v>
      </c>
      <c r="R79" s="41">
        <v>1318.83569335937</v>
      </c>
      <c r="S79" s="41">
        <f t="shared" si="3"/>
        <v>-1.6513070378745453E-2</v>
      </c>
      <c r="T79" s="41">
        <f t="shared" si="3"/>
        <v>-4.7244695093672543E-3</v>
      </c>
    </row>
    <row r="80" spans="16:20" ht="15" customHeight="1">
      <c r="P80" s="53">
        <v>45495</v>
      </c>
      <c r="Q80" s="41">
        <v>20641.55078125</v>
      </c>
      <c r="R80" s="41">
        <v>1345.64575195312</v>
      </c>
      <c r="S80" s="41">
        <f t="shared" si="3"/>
        <v>1.0582431016833838E-2</v>
      </c>
      <c r="T80" s="41">
        <f t="shared" si="3"/>
        <v>2.0328581284798846E-2</v>
      </c>
    </row>
    <row r="81" spans="16:20" ht="15" customHeight="1">
      <c r="P81" s="53">
        <v>45496</v>
      </c>
      <c r="Q81" s="41">
        <v>20755.349609375</v>
      </c>
      <c r="R81" s="41">
        <v>1364.34716796875</v>
      </c>
      <c r="S81" s="41">
        <f t="shared" si="3"/>
        <v>5.5130948895744077E-3</v>
      </c>
      <c r="T81" s="41">
        <f t="shared" si="3"/>
        <v>1.3897726046016252E-2</v>
      </c>
    </row>
    <row r="82" spans="16:20" ht="15" customHeight="1">
      <c r="P82" s="53">
        <v>45497</v>
      </c>
      <c r="Q82" s="41">
        <v>20908.5</v>
      </c>
      <c r="R82" s="41">
        <v>1355.43371582031</v>
      </c>
      <c r="S82" s="41">
        <f t="shared" si="3"/>
        <v>7.3788393598450096E-3</v>
      </c>
      <c r="T82" s="41">
        <f t="shared" si="3"/>
        <v>-6.5331261409883037E-3</v>
      </c>
    </row>
    <row r="83" spans="16:20" ht="15" customHeight="1">
      <c r="P83" s="53">
        <v>45498</v>
      </c>
      <c r="Q83" s="41">
        <v>21105.5</v>
      </c>
      <c r="R83" s="41">
        <v>1362.001953125</v>
      </c>
      <c r="S83" s="41">
        <f t="shared" si="3"/>
        <v>9.4220054045005622E-3</v>
      </c>
      <c r="T83" s="41">
        <f t="shared" si="3"/>
        <v>4.8458565166463316E-3</v>
      </c>
    </row>
    <row r="84" spans="16:20" ht="15" customHeight="1">
      <c r="P84" s="53">
        <v>45499</v>
      </c>
      <c r="Q84" s="41">
        <v>21603.099609375</v>
      </c>
      <c r="R84" s="41">
        <v>1367.05993652343</v>
      </c>
      <c r="S84" s="41">
        <f t="shared" si="3"/>
        <v>2.3576774270924642E-2</v>
      </c>
      <c r="T84" s="41">
        <f t="shared" si="3"/>
        <v>3.7136388731490986E-3</v>
      </c>
    </row>
    <row r="85" spans="16:20" ht="15" customHeight="1">
      <c r="P85" s="53">
        <v>45502</v>
      </c>
      <c r="Q85" s="41">
        <v>21674.94921875</v>
      </c>
      <c r="R85" s="41">
        <v>1359.38854980468</v>
      </c>
      <c r="S85" s="41">
        <f t="shared" si="3"/>
        <v>3.3258935372320253E-3</v>
      </c>
      <c r="T85" s="41">
        <f t="shared" si="3"/>
        <v>-5.6115950104273426E-3</v>
      </c>
    </row>
    <row r="86" spans="16:20" ht="15" customHeight="1">
      <c r="P86" s="53">
        <v>45503</v>
      </c>
      <c r="Q86" s="41">
        <v>21540.80078125</v>
      </c>
      <c r="R86" s="41">
        <v>1352.25378417968</v>
      </c>
      <c r="S86" s="41">
        <f t="shared" si="3"/>
        <v>-6.1891004286162002E-3</v>
      </c>
      <c r="T86" s="41">
        <f t="shared" si="3"/>
        <v>-5.2485109029534929E-3</v>
      </c>
    </row>
    <row r="87" spans="16:20" ht="15" customHeight="1">
      <c r="P87" s="53">
        <v>45504</v>
      </c>
      <c r="Q87" s="41">
        <v>21777.150390625</v>
      </c>
      <c r="R87" s="41">
        <v>1341.59143066406</v>
      </c>
      <c r="S87" s="41">
        <f t="shared" si="3"/>
        <v>1.0972183057406503E-2</v>
      </c>
      <c r="T87" s="41">
        <f t="shared" si="3"/>
        <v>-7.8848760790032613E-3</v>
      </c>
    </row>
    <row r="88" spans="16:20" ht="15" customHeight="1">
      <c r="P88" s="53">
        <v>45505</v>
      </c>
      <c r="Q88" s="41">
        <v>21790.349609375</v>
      </c>
      <c r="R88" s="41">
        <v>1368.908203125</v>
      </c>
      <c r="S88" s="41">
        <f t="shared" si="3"/>
        <v>6.061040362600529E-4</v>
      </c>
      <c r="T88" s="41">
        <f t="shared" si="3"/>
        <v>2.0361469100483719E-2</v>
      </c>
    </row>
    <row r="89" spans="16:20" ht="15" customHeight="1">
      <c r="P89" s="53">
        <v>45506</v>
      </c>
      <c r="Q89" s="41">
        <v>21902.849609375</v>
      </c>
      <c r="R89" s="41">
        <v>1384.05212402343</v>
      </c>
      <c r="S89" s="41">
        <f t="shared" si="3"/>
        <v>5.1628359350231997E-3</v>
      </c>
      <c r="T89" s="41">
        <f t="shared" si="3"/>
        <v>1.1062773138373217E-2</v>
      </c>
    </row>
    <row r="90" spans="16:20" ht="15" customHeight="1">
      <c r="P90" s="53">
        <v>45509</v>
      </c>
      <c r="Q90" s="41">
        <v>21583.05078125</v>
      </c>
      <c r="R90" s="41">
        <v>1353.82385253906</v>
      </c>
      <c r="S90" s="41">
        <f t="shared" si="3"/>
        <v>-1.4600786373847796E-2</v>
      </c>
      <c r="T90" s="41">
        <f t="shared" si="3"/>
        <v>-2.184041407089252E-2</v>
      </c>
    </row>
    <row r="91" spans="16:20" ht="15" customHeight="1">
      <c r="P91" s="53">
        <v>45510</v>
      </c>
      <c r="Q91" s="41">
        <v>21562.55078125</v>
      </c>
      <c r="R91" s="41">
        <v>1352.89965820312</v>
      </c>
      <c r="S91" s="41">
        <f t="shared" si="3"/>
        <v>-9.4981938409787337E-4</v>
      </c>
      <c r="T91" s="41">
        <f t="shared" si="3"/>
        <v>-6.8265478866153797E-4</v>
      </c>
    </row>
    <row r="92" spans="16:20" ht="15" customHeight="1">
      <c r="P92" s="53">
        <v>45511</v>
      </c>
      <c r="Q92" s="41">
        <v>22036.94921875</v>
      </c>
      <c r="R92" s="41">
        <v>1376.53979492187</v>
      </c>
      <c r="S92" s="41">
        <f t="shared" si="3"/>
        <v>2.2001035142489699E-2</v>
      </c>
      <c r="T92" s="41">
        <f t="shared" si="3"/>
        <v>1.7473680753344344E-2</v>
      </c>
    </row>
    <row r="93" spans="16:20" ht="15" customHeight="1">
      <c r="P93" s="53">
        <v>45512</v>
      </c>
      <c r="Q93" s="41">
        <v>22114.25</v>
      </c>
      <c r="R93" s="41">
        <v>1378.91479492187</v>
      </c>
      <c r="S93" s="41">
        <f t="shared" si="3"/>
        <v>3.5077805227335694E-3</v>
      </c>
      <c r="T93" s="41">
        <f t="shared" si="3"/>
        <v>1.7253406031278601E-3</v>
      </c>
    </row>
    <row r="94" spans="16:20" ht="15" customHeight="1">
      <c r="P94" s="53">
        <v>45513</v>
      </c>
      <c r="Q94" s="41">
        <v>22209.55078125</v>
      </c>
      <c r="R94" s="41">
        <v>1393.85986328125</v>
      </c>
      <c r="S94" s="41">
        <f t="shared" si="3"/>
        <v>4.3094738121347096E-3</v>
      </c>
      <c r="T94" s="41">
        <f t="shared" si="3"/>
        <v>1.0838282694781586E-2</v>
      </c>
    </row>
    <row r="95" spans="16:20" ht="15" customHeight="1">
      <c r="P95" s="53">
        <v>45516</v>
      </c>
      <c r="Q95" s="41">
        <v>22205.599609375</v>
      </c>
      <c r="R95" s="41">
        <v>1368.63000488281</v>
      </c>
      <c r="S95" s="41">
        <f t="shared" si="3"/>
        <v>-1.7790417797804823E-4</v>
      </c>
      <c r="T95" s="41">
        <f t="shared" si="3"/>
        <v>-1.8100713753997504E-2</v>
      </c>
    </row>
    <row r="96" spans="16:20" ht="15" customHeight="1">
      <c r="P96" s="53">
        <v>45517</v>
      </c>
      <c r="Q96" s="41">
        <v>22191.599609375</v>
      </c>
      <c r="R96" s="41">
        <v>1380.92199707031</v>
      </c>
      <c r="S96" s="41">
        <f t="shared" si="3"/>
        <v>-6.304716038421826E-4</v>
      </c>
      <c r="T96" s="41">
        <f t="shared" si="3"/>
        <v>8.9812382774353324E-3</v>
      </c>
    </row>
    <row r="97" spans="16:20" ht="15" customHeight="1">
      <c r="P97" s="53">
        <v>45518</v>
      </c>
      <c r="Q97" s="41">
        <v>22012.69921875</v>
      </c>
      <c r="R97" s="41">
        <v>1351.6376953125</v>
      </c>
      <c r="S97" s="41">
        <f t="shared" si="3"/>
        <v>-8.061626641345054E-3</v>
      </c>
      <c r="T97" s="41">
        <f t="shared" si="3"/>
        <v>-2.1206340271165209E-2</v>
      </c>
    </row>
    <row r="98" spans="16:20" ht="15" customHeight="1">
      <c r="P98" s="53">
        <v>45520</v>
      </c>
      <c r="Q98" s="41">
        <v>22106.5</v>
      </c>
      <c r="R98" s="41">
        <v>1350.15710449218</v>
      </c>
      <c r="S98" s="41">
        <f t="shared" si="3"/>
        <v>4.2612121447651577E-3</v>
      </c>
      <c r="T98" s="41">
        <f t="shared" si="3"/>
        <v>-1.095405096687311E-3</v>
      </c>
    </row>
    <row r="99" spans="16:20" ht="15" customHeight="1">
      <c r="P99" s="53">
        <v>45523</v>
      </c>
      <c r="Q99" s="41">
        <v>22237.849609375</v>
      </c>
      <c r="R99" s="41">
        <v>1373.55871582031</v>
      </c>
      <c r="S99" s="41">
        <f t="shared" si="3"/>
        <v>5.9416736876031937E-3</v>
      </c>
      <c r="T99" s="41">
        <f t="shared" si="3"/>
        <v>1.7332509861459268E-2</v>
      </c>
    </row>
    <row r="100" spans="16:20" ht="15" customHeight="1">
      <c r="P100" s="53">
        <v>45524</v>
      </c>
      <c r="Q100" s="41">
        <v>22374.25</v>
      </c>
      <c r="R100" s="41">
        <v>1384.29052734375</v>
      </c>
      <c r="S100" s="41">
        <f t="shared" si="3"/>
        <v>6.1337041584945571E-3</v>
      </c>
      <c r="T100" s="41">
        <f t="shared" si="3"/>
        <v>7.8131436245379594E-3</v>
      </c>
    </row>
    <row r="101" spans="16:20" ht="15" customHeight="1">
      <c r="P101" s="53">
        <v>45525</v>
      </c>
      <c r="Q101" s="41">
        <v>22577.900390625</v>
      </c>
      <c r="R101" s="41">
        <v>1403.58825683593</v>
      </c>
      <c r="S101" s="41">
        <f t="shared" si="3"/>
        <v>9.1019985306770058E-3</v>
      </c>
      <c r="T101" s="41">
        <f t="shared" si="3"/>
        <v>1.3940519790458657E-2</v>
      </c>
    </row>
    <row r="102" spans="16:20" ht="15" customHeight="1">
      <c r="P102" s="53">
        <v>45526</v>
      </c>
      <c r="Q102" s="41">
        <v>22546.099609375</v>
      </c>
      <c r="R102" s="41">
        <v>1385.02600097656</v>
      </c>
      <c r="S102" s="41">
        <f t="shared" si="3"/>
        <v>-1.4084915204606275E-3</v>
      </c>
      <c r="T102" s="41">
        <f t="shared" si="3"/>
        <v>-1.3224858336457142E-2</v>
      </c>
    </row>
    <row r="103" spans="16:20" ht="15" customHeight="1">
      <c r="P103" s="53">
        <v>45527</v>
      </c>
      <c r="Q103" s="41">
        <v>22527.849609375</v>
      </c>
      <c r="R103" s="41">
        <v>1382.13427734375</v>
      </c>
      <c r="S103" s="41">
        <f t="shared" si="3"/>
        <v>-8.0945264663034584E-4</v>
      </c>
      <c r="T103" s="41">
        <f t="shared" si="3"/>
        <v>-2.0878479037729908E-3</v>
      </c>
    </row>
    <row r="104" spans="16:20" ht="15" customHeight="1">
      <c r="P104" s="53">
        <v>45530</v>
      </c>
      <c r="Q104" s="41">
        <v>22554.94921875</v>
      </c>
      <c r="R104" s="41">
        <v>1379.90844726562</v>
      </c>
      <c r="S104" s="41">
        <f t="shared" si="3"/>
        <v>1.2029381341272119E-3</v>
      </c>
      <c r="T104" s="41">
        <f t="shared" si="3"/>
        <v>-1.6104296916850266E-3</v>
      </c>
    </row>
    <row r="105" spans="16:20" ht="15" customHeight="1">
      <c r="P105" s="53">
        <v>45531</v>
      </c>
      <c r="Q105" s="41">
        <v>22729</v>
      </c>
      <c r="R105" s="41">
        <v>1383.81359863281</v>
      </c>
      <c r="S105" s="41">
        <f t="shared" si="3"/>
        <v>7.7167445407197392E-3</v>
      </c>
      <c r="T105" s="41">
        <f t="shared" si="3"/>
        <v>2.830007581248102E-3</v>
      </c>
    </row>
    <row r="106" spans="16:20" ht="15" customHeight="1">
      <c r="P106" s="53">
        <v>45532</v>
      </c>
      <c r="Q106" s="41">
        <v>22989.099609375</v>
      </c>
      <c r="R106" s="41">
        <v>1391.03784179687</v>
      </c>
      <c r="S106" s="41">
        <f t="shared" si="3"/>
        <v>1.1443513105503981E-2</v>
      </c>
      <c r="T106" s="41">
        <f t="shared" si="3"/>
        <v>5.2205319930353758E-3</v>
      </c>
    </row>
    <row r="107" spans="16:20" ht="15" customHeight="1">
      <c r="P107" s="53">
        <v>45533</v>
      </c>
      <c r="Q107" s="41">
        <v>22878.05078125</v>
      </c>
      <c r="R107" s="41">
        <v>1377.49365234375</v>
      </c>
      <c r="S107" s="41">
        <f t="shared" si="3"/>
        <v>-4.8304992371129693E-3</v>
      </c>
      <c r="T107" s="41">
        <f t="shared" si="3"/>
        <v>-9.7367512558999263E-3</v>
      </c>
    </row>
    <row r="108" spans="16:20" ht="15" customHeight="1">
      <c r="P108" s="53">
        <v>45534</v>
      </c>
      <c r="Q108" s="41">
        <v>23217.599609375</v>
      </c>
      <c r="R108" s="41">
        <v>1397.40747070312</v>
      </c>
      <c r="S108" s="41">
        <f t="shared" si="3"/>
        <v>1.4841685219235618E-2</v>
      </c>
      <c r="T108" s="41">
        <f t="shared" si="3"/>
        <v>1.4456559074147047E-2</v>
      </c>
    </row>
    <row r="109" spans="16:20" ht="15" customHeight="1">
      <c r="P109" s="53">
        <v>45537</v>
      </c>
      <c r="Q109" s="41">
        <v>22987.44921875</v>
      </c>
      <c r="R109" s="41">
        <v>1365.76818847656</v>
      </c>
      <c r="S109" s="41">
        <f t="shared" si="3"/>
        <v>-9.9127556033858002E-3</v>
      </c>
      <c r="T109" s="41">
        <f t="shared" si="3"/>
        <v>-2.2641414827015607E-2</v>
      </c>
    </row>
    <row r="110" spans="16:20" ht="15" customHeight="1">
      <c r="P110" s="53">
        <v>45538</v>
      </c>
      <c r="Q110" s="41">
        <v>23014.30078125</v>
      </c>
      <c r="R110" s="41">
        <v>1362.13122558593</v>
      </c>
      <c r="S110" s="41">
        <f t="shared" si="3"/>
        <v>1.1680966532858369E-3</v>
      </c>
      <c r="T110" s="41">
        <f t="shared" si="3"/>
        <v>-2.6629430391747785E-3</v>
      </c>
    </row>
    <row r="111" spans="16:20" ht="15" customHeight="1">
      <c r="P111" s="53">
        <v>45539</v>
      </c>
      <c r="Q111" s="41">
        <v>23184.400390625</v>
      </c>
      <c r="R111" s="41">
        <v>1348.88513183593</v>
      </c>
      <c r="S111" s="41">
        <f t="shared" si="3"/>
        <v>7.3910396406038975E-3</v>
      </c>
      <c r="T111" s="41">
        <f t="shared" si="3"/>
        <v>-9.7245357137320625E-3</v>
      </c>
    </row>
    <row r="112" spans="16:20" ht="15" customHeight="1">
      <c r="P112" s="53">
        <v>45540</v>
      </c>
      <c r="Q112" s="41">
        <v>23156.69921875</v>
      </c>
      <c r="R112" s="41">
        <v>1330.71044921875</v>
      </c>
      <c r="S112" s="41">
        <f t="shared" si="3"/>
        <v>-1.1948194220369585E-3</v>
      </c>
      <c r="T112" s="41">
        <f t="shared" si="3"/>
        <v>-1.347385495490112E-2</v>
      </c>
    </row>
    <row r="113" spans="16:20" ht="15" customHeight="1">
      <c r="P113" s="53">
        <v>45541</v>
      </c>
      <c r="Q113" s="41">
        <v>23043.400390625</v>
      </c>
      <c r="R113" s="41">
        <v>1325.02648925781</v>
      </c>
      <c r="S113" s="41">
        <f t="shared" si="3"/>
        <v>-4.8927019803090867E-3</v>
      </c>
      <c r="T113" s="41">
        <f t="shared" si="3"/>
        <v>-4.2713724569285608E-3</v>
      </c>
    </row>
    <row r="114" spans="16:20" ht="15" customHeight="1">
      <c r="P114" s="53">
        <v>45544</v>
      </c>
      <c r="Q114" s="41">
        <v>23009.400390625</v>
      </c>
      <c r="R114" s="41">
        <v>1322.79077148437</v>
      </c>
      <c r="S114" s="41">
        <f t="shared" si="3"/>
        <v>-1.4754766841543314E-3</v>
      </c>
      <c r="T114" s="41">
        <f t="shared" si="3"/>
        <v>-1.6873004363047101E-3</v>
      </c>
    </row>
    <row r="115" spans="16:20" ht="15" customHeight="1">
      <c r="P115" s="53">
        <v>45545</v>
      </c>
      <c r="Q115" s="41">
        <v>23256.849609375</v>
      </c>
      <c r="R115" s="41">
        <v>1321.69750976562</v>
      </c>
      <c r="S115" s="41">
        <f t="shared" si="3"/>
        <v>1.0754266280264359E-2</v>
      </c>
      <c r="T115" s="41">
        <f t="shared" si="3"/>
        <v>-8.2648121102568326E-4</v>
      </c>
    </row>
    <row r="116" spans="16:20" ht="15" customHeight="1">
      <c r="P116" s="53">
        <v>45546</v>
      </c>
      <c r="Q116" s="41">
        <v>23220.400390625</v>
      </c>
      <c r="R116" s="41">
        <v>1314.16540527343</v>
      </c>
      <c r="S116" s="41">
        <f t="shared" si="3"/>
        <v>-1.5672466117382924E-3</v>
      </c>
      <c r="T116" s="41">
        <f t="shared" si="3"/>
        <v>-5.6988111398694309E-3</v>
      </c>
    </row>
    <row r="117" spans="16:20" ht="15" customHeight="1">
      <c r="P117" s="53">
        <v>45547</v>
      </c>
      <c r="Q117" s="41">
        <v>23429.599609375</v>
      </c>
      <c r="R117" s="41">
        <v>1328.34545898437</v>
      </c>
      <c r="S117" s="41">
        <f t="shared" si="3"/>
        <v>9.0092855950262615E-3</v>
      </c>
      <c r="T117" s="41">
        <f t="shared" si="3"/>
        <v>1.0790159027196161E-2</v>
      </c>
    </row>
    <row r="118" spans="16:20" ht="15" customHeight="1">
      <c r="P118" s="53">
        <v>45548</v>
      </c>
      <c r="Q118" s="41">
        <v>23457.650390625</v>
      </c>
      <c r="R118" s="41">
        <v>1323.74462890625</v>
      </c>
      <c r="S118" s="41">
        <f t="shared" si="3"/>
        <v>1.1972369019390286E-3</v>
      </c>
      <c r="T118" s="41">
        <f t="shared" si="3"/>
        <v>-3.463579483034265E-3</v>
      </c>
    </row>
    <row r="119" spans="16:20" ht="15" customHeight="1">
      <c r="P119" s="53">
        <v>45551</v>
      </c>
      <c r="Q119" s="41">
        <v>23448.75</v>
      </c>
      <c r="R119" s="41">
        <v>1321.04174804687</v>
      </c>
      <c r="S119" s="41">
        <f t="shared" si="3"/>
        <v>-3.7942379039620686E-4</v>
      </c>
      <c r="T119" s="41">
        <f t="shared" si="3"/>
        <v>-2.0418446280029631E-3</v>
      </c>
    </row>
    <row r="120" spans="16:20" ht="15" customHeight="1">
      <c r="P120" s="53">
        <v>45552</v>
      </c>
      <c r="Q120" s="41">
        <v>23383.650390625</v>
      </c>
      <c r="R120" s="41">
        <v>1317.97119140625</v>
      </c>
      <c r="S120" s="41">
        <f t="shared" si="3"/>
        <v>-2.7762507329815024E-3</v>
      </c>
      <c r="T120" s="41">
        <f t="shared" si="3"/>
        <v>-2.324344893081347E-3</v>
      </c>
    </row>
    <row r="121" spans="16:20" ht="15" customHeight="1">
      <c r="P121" s="53">
        <v>45553</v>
      </c>
      <c r="Q121" s="41">
        <v>23025.19921875</v>
      </c>
      <c r="R121" s="41">
        <v>1305.28173828125</v>
      </c>
      <c r="S121" s="41">
        <f t="shared" si="3"/>
        <v>-1.5329136635514815E-2</v>
      </c>
      <c r="T121" s="41">
        <f t="shared" si="3"/>
        <v>-9.6280201022152824E-3</v>
      </c>
    </row>
    <row r="122" spans="16:20" ht="15" customHeight="1">
      <c r="P122" s="53">
        <v>45554</v>
      </c>
      <c r="Q122" s="41">
        <v>22930.150390625</v>
      </c>
      <c r="R122" s="41">
        <v>1292.31396484375</v>
      </c>
      <c r="S122" s="41">
        <f t="shared" si="3"/>
        <v>-4.1280349942683378E-3</v>
      </c>
      <c r="T122" s="41">
        <f t="shared" si="3"/>
        <v>-9.9348462919396363E-3</v>
      </c>
    </row>
    <row r="123" spans="16:20" ht="15" customHeight="1">
      <c r="P123" s="53">
        <v>45555</v>
      </c>
      <c r="Q123" s="41">
        <v>23005.25</v>
      </c>
      <c r="R123" s="41">
        <v>1301.97265625</v>
      </c>
      <c r="S123" s="41">
        <f t="shared" si="3"/>
        <v>3.2751468305111729E-3</v>
      </c>
      <c r="T123" s="41">
        <f t="shared" si="3"/>
        <v>7.4739511210171012E-3</v>
      </c>
    </row>
    <row r="124" spans="16:20" ht="15" customHeight="1">
      <c r="P124" s="53">
        <v>45558</v>
      </c>
      <c r="Q124" s="41">
        <v>23134.25</v>
      </c>
      <c r="R124" s="41">
        <v>1322.50256347656</v>
      </c>
      <c r="S124" s="41">
        <f t="shared" si="3"/>
        <v>5.6074156985905389E-3</v>
      </c>
      <c r="T124" s="41">
        <f t="shared" si="3"/>
        <v>1.5768309056267863E-2</v>
      </c>
    </row>
    <row r="125" spans="16:20" ht="15" customHeight="1">
      <c r="P125" s="53">
        <v>45559</v>
      </c>
      <c r="Q125" s="41">
        <v>23188.400390625</v>
      </c>
      <c r="R125" s="41">
        <v>1321.68762207031</v>
      </c>
      <c r="S125" s="41">
        <f t="shared" si="3"/>
        <v>2.3407022326204655E-3</v>
      </c>
      <c r="T125" s="41">
        <f t="shared" si="3"/>
        <v>-6.1621158911609475E-4</v>
      </c>
    </row>
    <row r="126" spans="16:20" ht="15" customHeight="1">
      <c r="P126" s="53">
        <v>45560</v>
      </c>
      <c r="Q126" s="41">
        <v>23249</v>
      </c>
      <c r="R126" s="41">
        <v>1329.85595703125</v>
      </c>
      <c r="S126" s="41">
        <f t="shared" si="3"/>
        <v>2.6133587636127001E-3</v>
      </c>
      <c r="T126" s="41">
        <f t="shared" si="3"/>
        <v>6.1802311109980792E-3</v>
      </c>
    </row>
    <row r="127" spans="16:20" ht="15" customHeight="1">
      <c r="P127" s="53">
        <v>45561</v>
      </c>
      <c r="Q127" s="41">
        <v>23250.900390625</v>
      </c>
      <c r="R127" s="41">
        <v>1340.37915039062</v>
      </c>
      <c r="S127" s="41">
        <f t="shared" si="3"/>
        <v>8.1740746913845755E-5</v>
      </c>
      <c r="T127" s="41">
        <f t="shared" si="3"/>
        <v>7.9130324632013631E-3</v>
      </c>
    </row>
    <row r="128" spans="16:20" ht="15" customHeight="1">
      <c r="P128" s="53">
        <v>45562</v>
      </c>
      <c r="Q128" s="41">
        <v>23519.099609375</v>
      </c>
      <c r="R128" s="41">
        <v>1341.47216796875</v>
      </c>
      <c r="S128" s="41">
        <f t="shared" si="3"/>
        <v>1.1535003558749951E-2</v>
      </c>
      <c r="T128" s="41">
        <f t="shared" si="3"/>
        <v>8.1545402866902968E-4</v>
      </c>
    </row>
    <row r="129" spans="16:20" ht="15" customHeight="1">
      <c r="P129" s="53">
        <v>45565</v>
      </c>
      <c r="Q129" s="41">
        <v>23281.19921875</v>
      </c>
      <c r="R129" s="41">
        <v>1341.80993652343</v>
      </c>
      <c r="S129" s="41">
        <f t="shared" si="3"/>
        <v>-1.0115199755783594E-2</v>
      </c>
      <c r="T129" s="41">
        <f t="shared" si="3"/>
        <v>2.5178946141793163E-4</v>
      </c>
    </row>
    <row r="130" spans="16:20" ht="15" customHeight="1">
      <c r="P130" s="53">
        <v>45566</v>
      </c>
      <c r="Q130" s="41">
        <v>23296.55078125</v>
      </c>
      <c r="R130" s="41">
        <v>1341.31311035156</v>
      </c>
      <c r="S130" s="41">
        <f t="shared" si="3"/>
        <v>6.5939741143730679E-4</v>
      </c>
      <c r="T130" s="41">
        <f t="shared" si="3"/>
        <v>-3.702656824536956E-4</v>
      </c>
    </row>
    <row r="131" spans="16:20" ht="15" customHeight="1">
      <c r="P131" s="53">
        <v>45568</v>
      </c>
      <c r="Q131" s="41">
        <v>23178.75</v>
      </c>
      <c r="R131" s="41">
        <v>1338.64013671875</v>
      </c>
      <c r="S131" s="41">
        <f t="shared" si="3"/>
        <v>-5.0565760724034219E-3</v>
      </c>
      <c r="T131" s="41">
        <f t="shared" si="3"/>
        <v>-1.9928036281621139E-3</v>
      </c>
    </row>
    <row r="132" spans="16:20" ht="15" customHeight="1">
      <c r="P132" s="53">
        <v>45569</v>
      </c>
      <c r="Q132" s="41">
        <v>23094.69921875</v>
      </c>
      <c r="R132" s="41">
        <v>1318.28918457031</v>
      </c>
      <c r="S132" s="41">
        <f t="shared" si="3"/>
        <v>-3.6261999137140702E-3</v>
      </c>
      <c r="T132" s="41">
        <f t="shared" si="3"/>
        <v>-1.5202705783440709E-2</v>
      </c>
    </row>
    <row r="133" spans="16:20" ht="15" customHeight="1">
      <c r="P133" s="53">
        <v>45572</v>
      </c>
      <c r="Q133" s="41">
        <v>22977.80078125</v>
      </c>
      <c r="R133" s="41">
        <v>1313.64868164062</v>
      </c>
      <c r="S133" s="41">
        <f t="shared" si="3"/>
        <v>-5.0616999335108522E-3</v>
      </c>
      <c r="T133" s="41">
        <f t="shared" si="3"/>
        <v>-3.5200948198649985E-3</v>
      </c>
    </row>
    <row r="134" spans="16:20" ht="15" customHeight="1">
      <c r="P134" s="53">
        <v>45573</v>
      </c>
      <c r="Q134" s="41">
        <v>23307.94921875</v>
      </c>
      <c r="R134" s="41">
        <v>1322.82043457031</v>
      </c>
      <c r="S134" s="41">
        <f t="shared" si="3"/>
        <v>1.4368147789382993E-2</v>
      </c>
      <c r="T134" s="41">
        <f t="shared" si="3"/>
        <v>6.9818917781239425E-3</v>
      </c>
    </row>
    <row r="135" spans="16:20" ht="15" customHeight="1">
      <c r="P135" s="53">
        <v>45574</v>
      </c>
      <c r="Q135" s="41">
        <v>23783.80078125</v>
      </c>
      <c r="R135" s="41">
        <v>1324.5693359375</v>
      </c>
      <c r="S135" s="41">
        <f t="shared" si="3"/>
        <v>2.0415848603153933E-2</v>
      </c>
      <c r="T135" s="41">
        <f t="shared" si="3"/>
        <v>1.3221003557887239E-3</v>
      </c>
    </row>
    <row r="136" spans="16:20" ht="15" customHeight="1">
      <c r="P136" s="53">
        <v>45575</v>
      </c>
      <c r="Q136" s="41">
        <v>23305.150390625</v>
      </c>
      <c r="R136" s="41">
        <v>1308.32238769531</v>
      </c>
      <c r="S136" s="41">
        <f t="shared" ref="S136:T199" si="4">(Q136-Q135)/Q135</f>
        <v>-2.0125058859488298E-2</v>
      </c>
      <c r="T136" s="41">
        <f t="shared" si="4"/>
        <v>-1.226583448777393E-2</v>
      </c>
    </row>
    <row r="137" spans="16:20" ht="15" customHeight="1">
      <c r="P137" s="53">
        <v>45576</v>
      </c>
      <c r="Q137" s="41">
        <v>23582.25</v>
      </c>
      <c r="R137" s="41">
        <v>1311.52209472656</v>
      </c>
      <c r="S137" s="41">
        <f t="shared" si="4"/>
        <v>1.1890058838087109E-2</v>
      </c>
      <c r="T137" s="41">
        <f t="shared" si="4"/>
        <v>2.4456564080405901E-3</v>
      </c>
    </row>
    <row r="138" spans="16:20" ht="15" customHeight="1">
      <c r="P138" s="53">
        <v>45579</v>
      </c>
      <c r="Q138" s="41">
        <v>23680</v>
      </c>
      <c r="R138" s="41">
        <v>1323.58557128906</v>
      </c>
      <c r="S138" s="41">
        <f t="shared" si="4"/>
        <v>4.1450667345143064E-3</v>
      </c>
      <c r="T138" s="41">
        <f t="shared" si="4"/>
        <v>9.1980734529791674E-3</v>
      </c>
    </row>
    <row r="139" spans="16:20" ht="15" customHeight="1">
      <c r="P139" s="53">
        <v>45580</v>
      </c>
      <c r="Q139" s="41">
        <v>23555.69921875</v>
      </c>
      <c r="R139" s="41">
        <v>1313.99633789062</v>
      </c>
      <c r="S139" s="41">
        <f t="shared" si="4"/>
        <v>-5.249188397381757E-3</v>
      </c>
      <c r="T139" s="41">
        <f t="shared" si="4"/>
        <v>-7.2448911550923763E-3</v>
      </c>
    </row>
    <row r="140" spans="16:20" ht="15" customHeight="1">
      <c r="P140" s="53">
        <v>45581</v>
      </c>
      <c r="Q140" s="41">
        <v>23467.349609375</v>
      </c>
      <c r="R140" s="41">
        <v>1333.72143554687</v>
      </c>
      <c r="S140" s="41">
        <f t="shared" si="4"/>
        <v>-3.7506680890489114E-3</v>
      </c>
      <c r="T140" s="41">
        <f t="shared" si="4"/>
        <v>1.5011531681979438E-2</v>
      </c>
    </row>
    <row r="141" spans="16:20" ht="15" customHeight="1">
      <c r="P141" s="53">
        <v>45582</v>
      </c>
      <c r="Q141" s="41">
        <v>23254</v>
      </c>
      <c r="R141" s="41">
        <v>1332.35998535156</v>
      </c>
      <c r="S141" s="41">
        <f t="shared" si="4"/>
        <v>-9.0913380899975468E-3</v>
      </c>
      <c r="T141" s="41">
        <f t="shared" si="4"/>
        <v>-1.0207905181877498E-3</v>
      </c>
    </row>
    <row r="142" spans="16:20" ht="15" customHeight="1">
      <c r="P142" s="53">
        <v>45583</v>
      </c>
      <c r="Q142" s="41">
        <v>23356.19921875</v>
      </c>
      <c r="R142" s="41">
        <v>1339.72326660156</v>
      </c>
      <c r="S142" s="41">
        <f t="shared" si="4"/>
        <v>4.3949092091683153E-3</v>
      </c>
      <c r="T142" s="41">
        <f t="shared" si="4"/>
        <v>5.5264953398139654E-3</v>
      </c>
    </row>
    <row r="143" spans="16:20" ht="15" customHeight="1">
      <c r="P143" s="53">
        <v>45586</v>
      </c>
      <c r="Q143" s="41">
        <v>23122.69921875</v>
      </c>
      <c r="R143" s="41">
        <v>1331.03833007812</v>
      </c>
      <c r="S143" s="41">
        <f t="shared" si="4"/>
        <v>-9.9973457929982794E-3</v>
      </c>
      <c r="T143" s="41">
        <f t="shared" si="4"/>
        <v>-6.4826346902751384E-3</v>
      </c>
    </row>
    <row r="144" spans="16:20" ht="15" customHeight="1">
      <c r="P144" s="53">
        <v>45587</v>
      </c>
      <c r="Q144" s="41">
        <v>22828.19921875</v>
      </c>
      <c r="R144" s="41">
        <v>1324.08239746093</v>
      </c>
      <c r="S144" s="41">
        <f t="shared" si="4"/>
        <v>-1.2736402321109314E-2</v>
      </c>
      <c r="T144" s="41">
        <f t="shared" si="4"/>
        <v>-5.2259446328504679E-3</v>
      </c>
    </row>
    <row r="145" spans="16:20" ht="15" customHeight="1">
      <c r="P145" s="53">
        <v>45588</v>
      </c>
      <c r="Q145" s="41">
        <v>22471.599609375</v>
      </c>
      <c r="R145" s="41">
        <v>1313.25109863281</v>
      </c>
      <c r="S145" s="41">
        <f t="shared" si="4"/>
        <v>-1.562101355248845E-2</v>
      </c>
      <c r="T145" s="41">
        <f t="shared" si="4"/>
        <v>-8.1802302099100287E-3</v>
      </c>
    </row>
    <row r="146" spans="16:20" ht="15" customHeight="1">
      <c r="P146" s="53">
        <v>45589</v>
      </c>
      <c r="Q146" s="41">
        <v>22570.80078125</v>
      </c>
      <c r="R146" s="41">
        <v>1308.24291992187</v>
      </c>
      <c r="S146" s="41">
        <f t="shared" si="4"/>
        <v>4.4145131454555618E-3</v>
      </c>
      <c r="T146" s="41">
        <f t="shared" si="4"/>
        <v>-3.813572831695233E-3</v>
      </c>
    </row>
    <row r="147" spans="16:20" ht="15" customHeight="1">
      <c r="P147" s="53">
        <v>45590</v>
      </c>
      <c r="Q147" s="41">
        <v>22574.55078125</v>
      </c>
      <c r="R147" s="41">
        <v>1294.72863769531</v>
      </c>
      <c r="S147" s="41">
        <f t="shared" si="4"/>
        <v>1.6614386154678205E-4</v>
      </c>
      <c r="T147" s="41">
        <f t="shared" si="4"/>
        <v>-1.0330101558942196E-2</v>
      </c>
    </row>
    <row r="148" spans="16:20" ht="15" customHeight="1">
      <c r="P148" s="53">
        <v>45593</v>
      </c>
      <c r="Q148" s="41">
        <v>22857.25</v>
      </c>
      <c r="R148" s="41">
        <v>1303.23474121093</v>
      </c>
      <c r="S148" s="41">
        <f t="shared" si="4"/>
        <v>1.2522916690098865E-2</v>
      </c>
      <c r="T148" s="41">
        <f t="shared" si="4"/>
        <v>6.5697963789241136E-3</v>
      </c>
    </row>
    <row r="149" spans="16:20" ht="15" customHeight="1">
      <c r="P149" s="53">
        <v>45594</v>
      </c>
      <c r="Q149" s="41">
        <v>22601.400390625</v>
      </c>
      <c r="R149" s="41">
        <v>1266.66662597656</v>
      </c>
      <c r="S149" s="41">
        <f t="shared" si="4"/>
        <v>-1.1193367941244025E-2</v>
      </c>
      <c r="T149" s="41">
        <f t="shared" si="4"/>
        <v>-2.805950001025288E-2</v>
      </c>
    </row>
    <row r="150" spans="16:20" ht="15" customHeight="1">
      <c r="P150" s="53">
        <v>45595</v>
      </c>
      <c r="Q150" s="41">
        <v>22374.94921875</v>
      </c>
      <c r="R150" s="41">
        <v>1241.97314453125</v>
      </c>
      <c r="S150" s="41">
        <f t="shared" si="4"/>
        <v>-1.0019342516888083E-2</v>
      </c>
      <c r="T150" s="41">
        <f t="shared" si="4"/>
        <v>-1.9494854398861346E-2</v>
      </c>
    </row>
    <row r="151" spans="16:20" ht="15" customHeight="1">
      <c r="P151" s="53">
        <v>45596</v>
      </c>
      <c r="Q151" s="41">
        <v>22735.55078125</v>
      </c>
      <c r="R151" s="41">
        <v>1266.16967773437</v>
      </c>
      <c r="S151" s="41">
        <f t="shared" si="4"/>
        <v>1.6116307526535936E-2</v>
      </c>
      <c r="T151" s="41">
        <f t="shared" si="4"/>
        <v>1.9482332053365244E-2</v>
      </c>
    </row>
    <row r="152" spans="16:20" ht="15" customHeight="1">
      <c r="P152" s="53">
        <v>45597</v>
      </c>
      <c r="Q152" s="41">
        <v>22807.150390625</v>
      </c>
      <c r="R152" s="41">
        <v>1251.66174316406</v>
      </c>
      <c r="S152" s="41">
        <f t="shared" si="4"/>
        <v>3.1492357525839299E-3</v>
      </c>
      <c r="T152" s="41">
        <f t="shared" si="4"/>
        <v>-1.1458128263085465E-2</v>
      </c>
    </row>
    <row r="153" spans="16:20" ht="15" customHeight="1">
      <c r="P153" s="53">
        <v>45600</v>
      </c>
      <c r="Q153" s="41">
        <v>22638.30078125</v>
      </c>
      <c r="R153" s="41">
        <v>1260.30700683593</v>
      </c>
      <c r="S153" s="41">
        <f t="shared" si="4"/>
        <v>-7.4033628262655084E-3</v>
      </c>
      <c r="T153" s="41">
        <f t="shared" si="4"/>
        <v>6.9070287712203653E-3</v>
      </c>
    </row>
    <row r="154" spans="16:20" ht="15" customHeight="1">
      <c r="P154" s="53">
        <v>45601</v>
      </c>
      <c r="Q154" s="41">
        <v>22661.25</v>
      </c>
      <c r="R154" s="41">
        <v>1264.18237304687</v>
      </c>
      <c r="S154" s="41">
        <f t="shared" si="4"/>
        <v>1.0137341566292606E-3</v>
      </c>
      <c r="T154" s="41">
        <f t="shared" si="4"/>
        <v>3.0749382411745223E-3</v>
      </c>
    </row>
    <row r="155" spans="16:20" ht="15" customHeight="1">
      <c r="P155" s="53">
        <v>45602</v>
      </c>
      <c r="Q155" s="41">
        <v>22920.349609375</v>
      </c>
      <c r="R155" s="41">
        <v>1293.89392089843</v>
      </c>
      <c r="S155" s="41">
        <f t="shared" si="4"/>
        <v>1.1433597412984721E-2</v>
      </c>
      <c r="T155" s="41">
        <f t="shared" si="4"/>
        <v>2.3502580391111364E-2</v>
      </c>
    </row>
    <row r="156" spans="16:20" ht="15" customHeight="1">
      <c r="P156" s="53">
        <v>45603</v>
      </c>
      <c r="Q156" s="41">
        <v>22526.94921875</v>
      </c>
      <c r="R156" s="41">
        <v>1279.23681640625</v>
      </c>
      <c r="S156" s="41">
        <f t="shared" si="4"/>
        <v>-1.716380410114204E-2</v>
      </c>
      <c r="T156" s="41">
        <f t="shared" si="4"/>
        <v>-1.1327902740282348E-2</v>
      </c>
    </row>
    <row r="157" spans="16:20" ht="15" customHeight="1">
      <c r="P157" s="53">
        <v>45604</v>
      </c>
      <c r="Q157" s="41">
        <v>22542.25</v>
      </c>
      <c r="R157" s="41">
        <v>1275.56018066406</v>
      </c>
      <c r="S157" s="41">
        <f t="shared" si="4"/>
        <v>6.7922118975900217E-4</v>
      </c>
      <c r="T157" s="41">
        <f t="shared" si="4"/>
        <v>-2.8740853101138419E-3</v>
      </c>
    </row>
    <row r="158" spans="16:20" ht="15" customHeight="1">
      <c r="P158" s="53">
        <v>45607</v>
      </c>
      <c r="Q158" s="41">
        <v>22344.25</v>
      </c>
      <c r="R158" s="41">
        <v>1279.78344726562</v>
      </c>
      <c r="S158" s="41">
        <f t="shared" si="4"/>
        <v>-8.783506526633322E-3</v>
      </c>
      <c r="T158" s="41">
        <f t="shared" si="4"/>
        <v>3.3109112886867912E-3</v>
      </c>
    </row>
    <row r="159" spans="16:20" ht="15" customHeight="1">
      <c r="P159" s="53">
        <v>45608</v>
      </c>
      <c r="Q159" s="41">
        <v>22151.599609375</v>
      </c>
      <c r="R159" s="41">
        <v>1255.93469238281</v>
      </c>
      <c r="S159" s="41">
        <f t="shared" si="4"/>
        <v>-8.6219224464907079E-3</v>
      </c>
      <c r="T159" s="41">
        <f t="shared" si="4"/>
        <v>-1.863499245420399E-2</v>
      </c>
    </row>
    <row r="160" spans="16:20" ht="15" customHeight="1">
      <c r="P160" s="53">
        <v>45609</v>
      </c>
      <c r="Q160" s="41">
        <v>21809.30078125</v>
      </c>
      <c r="R160" s="41">
        <v>1237.15380859375</v>
      </c>
      <c r="S160" s="41">
        <f t="shared" si="4"/>
        <v>-1.5452555759455507E-2</v>
      </c>
      <c r="T160" s="41">
        <f t="shared" si="4"/>
        <v>-1.4953710493837978E-2</v>
      </c>
    </row>
    <row r="161" spans="16:20" ht="15" customHeight="1">
      <c r="P161" s="53">
        <v>45610</v>
      </c>
      <c r="Q161" s="41">
        <v>21752</v>
      </c>
      <c r="R161" s="41">
        <v>1218.96911621093</v>
      </c>
      <c r="S161" s="41">
        <f t="shared" si="4"/>
        <v>-2.627355265752624E-3</v>
      </c>
      <c r="T161" s="41">
        <f t="shared" si="4"/>
        <v>-1.4698812917603356E-2</v>
      </c>
    </row>
    <row r="162" spans="16:20" ht="15" customHeight="1">
      <c r="P162" s="53">
        <v>45614</v>
      </c>
      <c r="Q162" s="41">
        <v>21544.150390625</v>
      </c>
      <c r="R162" s="41">
        <v>1186.02807617187</v>
      </c>
      <c r="S162" s="41">
        <f t="shared" si="4"/>
        <v>-9.5554252195200438E-3</v>
      </c>
      <c r="T162" s="41">
        <f t="shared" si="4"/>
        <v>-2.702368714759127E-2</v>
      </c>
    </row>
    <row r="163" spans="16:20" ht="15" customHeight="1">
      <c r="P163" s="53">
        <v>45615</v>
      </c>
      <c r="Q163" s="41">
        <v>21768.849609375</v>
      </c>
      <c r="R163" s="41">
        <v>1205.80261230468</v>
      </c>
      <c r="S163" s="41">
        <f t="shared" si="4"/>
        <v>1.0429708977884712E-2</v>
      </c>
      <c r="T163" s="41">
        <f t="shared" si="4"/>
        <v>1.6672907269308545E-2</v>
      </c>
    </row>
    <row r="164" spans="16:20" ht="15" customHeight="1">
      <c r="P164" s="53">
        <v>45617</v>
      </c>
      <c r="Q164" s="41">
        <v>21740.099609375</v>
      </c>
      <c r="R164" s="41">
        <v>1187.81665039062</v>
      </c>
      <c r="S164" s="41">
        <f t="shared" si="4"/>
        <v>-1.3206945022771661E-3</v>
      </c>
      <c r="T164" s="41">
        <f t="shared" si="4"/>
        <v>-1.4916174281363506E-2</v>
      </c>
    </row>
    <row r="165" spans="16:20" ht="15" customHeight="1">
      <c r="P165" s="53">
        <v>45618</v>
      </c>
      <c r="Q165" s="41">
        <v>21962.05078125</v>
      </c>
      <c r="R165" s="41">
        <v>1206.79626464843</v>
      </c>
      <c r="S165" s="41">
        <f t="shared" si="4"/>
        <v>1.0209298754973865E-2</v>
      </c>
      <c r="T165" s="41">
        <f t="shared" si="4"/>
        <v>1.5978572325592886E-2</v>
      </c>
    </row>
    <row r="166" spans="16:20" ht="15" customHeight="1">
      <c r="P166" s="53">
        <v>45621</v>
      </c>
      <c r="Q166" s="41">
        <v>22177.05078125</v>
      </c>
      <c r="R166" s="41">
        <v>1201.67883300781</v>
      </c>
      <c r="S166" s="41">
        <f t="shared" si="4"/>
        <v>9.7896140092506873E-3</v>
      </c>
      <c r="T166" s="41">
        <f t="shared" si="4"/>
        <v>-4.2405100102881361E-3</v>
      </c>
    </row>
    <row r="167" spans="16:20" ht="15" customHeight="1">
      <c r="P167" s="53">
        <v>45622</v>
      </c>
      <c r="Q167" s="41">
        <v>21961.75</v>
      </c>
      <c r="R167" s="41">
        <v>1201.03283691406</v>
      </c>
      <c r="S167" s="41">
        <f t="shared" si="4"/>
        <v>-9.7082692993619348E-3</v>
      </c>
      <c r="T167" s="41">
        <f t="shared" si="4"/>
        <v>-5.3757799172767949E-4</v>
      </c>
    </row>
    <row r="168" spans="16:20" ht="15" customHeight="1">
      <c r="P168" s="53">
        <v>45623</v>
      </c>
      <c r="Q168" s="41">
        <v>21828.599609375</v>
      </c>
      <c r="R168" s="41">
        <v>1192.33801269531</v>
      </c>
      <c r="S168" s="41">
        <f t="shared" si="4"/>
        <v>-6.0628315423406605E-3</v>
      </c>
      <c r="T168" s="41">
        <f t="shared" si="4"/>
        <v>-7.2394558679099285E-3</v>
      </c>
    </row>
    <row r="169" spans="16:20" ht="15" customHeight="1">
      <c r="P169" s="53">
        <v>45624</v>
      </c>
      <c r="Q169" s="41">
        <v>21728.599609375</v>
      </c>
      <c r="R169" s="41">
        <v>1184.43811035156</v>
      </c>
      <c r="S169" s="41">
        <f t="shared" si="4"/>
        <v>-4.5811459181766181E-3</v>
      </c>
      <c r="T169" s="41">
        <f t="shared" si="4"/>
        <v>-6.6255560584637177E-3</v>
      </c>
    </row>
    <row r="170" spans="16:20" ht="15" customHeight="1">
      <c r="P170" s="53">
        <v>45625</v>
      </c>
      <c r="Q170" s="41">
        <v>22240.19921875</v>
      </c>
      <c r="R170" s="41">
        <v>1194.72290039062</v>
      </c>
      <c r="S170" s="41">
        <f t="shared" si="4"/>
        <v>2.3544987646339884E-2</v>
      </c>
      <c r="T170" s="41">
        <f t="shared" si="4"/>
        <v>8.6832650428710963E-3</v>
      </c>
    </row>
    <row r="171" spans="16:20" ht="15" customHeight="1">
      <c r="P171" s="53">
        <v>45628</v>
      </c>
      <c r="Q171" s="41">
        <v>22450.19921875</v>
      </c>
      <c r="R171" s="41">
        <v>1214.05029296875</v>
      </c>
      <c r="S171" s="41">
        <f t="shared" si="4"/>
        <v>9.4423614615356376E-3</v>
      </c>
      <c r="T171" s="41">
        <f t="shared" si="4"/>
        <v>1.6177301507998905E-2</v>
      </c>
    </row>
    <row r="172" spans="16:20" ht="15" customHeight="1">
      <c r="P172" s="53">
        <v>45629</v>
      </c>
      <c r="Q172" s="41">
        <v>22445.69921875</v>
      </c>
      <c r="R172" s="41">
        <v>1216.78295898437</v>
      </c>
      <c r="S172" s="41">
        <f t="shared" si="4"/>
        <v>-2.0044365558420887E-4</v>
      </c>
      <c r="T172" s="41">
        <f t="shared" si="4"/>
        <v>2.2508672263796712E-3</v>
      </c>
    </row>
    <row r="173" spans="16:20" ht="15" customHeight="1">
      <c r="P173" s="53">
        <v>45630</v>
      </c>
      <c r="Q173" s="41">
        <v>22422.900390625</v>
      </c>
      <c r="R173" s="41">
        <v>1207.88940429687</v>
      </c>
      <c r="S173" s="41">
        <f t="shared" si="4"/>
        <v>-1.0157325865774328E-3</v>
      </c>
      <c r="T173" s="41">
        <f t="shared" si="4"/>
        <v>-7.3090723549607507E-3</v>
      </c>
    </row>
    <row r="174" spans="16:20" ht="15" customHeight="1">
      <c r="P174" s="53">
        <v>45631</v>
      </c>
      <c r="Q174" s="41">
        <v>22463.400390625</v>
      </c>
      <c r="R174" s="41">
        <v>1232.03625488281</v>
      </c>
      <c r="S174" s="41">
        <f t="shared" si="4"/>
        <v>1.8061891768886877E-3</v>
      </c>
      <c r="T174" s="41">
        <f t="shared" si="4"/>
        <v>1.9990944949133182E-2</v>
      </c>
    </row>
    <row r="175" spans="16:20" ht="15" customHeight="1">
      <c r="P175" s="53">
        <v>45632</v>
      </c>
      <c r="Q175" s="41">
        <v>22434.75</v>
      </c>
      <c r="R175" s="41">
        <v>1245.79895019531</v>
      </c>
      <c r="S175" s="41">
        <f t="shared" si="4"/>
        <v>-1.2754253642274531E-3</v>
      </c>
      <c r="T175" s="41">
        <f t="shared" si="4"/>
        <v>1.1170690195159146E-2</v>
      </c>
    </row>
    <row r="176" spans="16:20" ht="15" customHeight="1">
      <c r="P176" s="53">
        <v>45635</v>
      </c>
      <c r="Q176" s="41">
        <v>22309.099609375</v>
      </c>
      <c r="R176" s="41">
        <v>1247.23986816406</v>
      </c>
      <c r="S176" s="41">
        <f t="shared" si="4"/>
        <v>-5.6007038467110176E-3</v>
      </c>
      <c r="T176" s="41">
        <f t="shared" si="4"/>
        <v>1.1566215949404197E-3</v>
      </c>
    </row>
    <row r="177" spans="16:20" ht="15" customHeight="1">
      <c r="P177" s="53">
        <v>45636</v>
      </c>
      <c r="Q177" s="41">
        <v>22291.44921875</v>
      </c>
      <c r="R177" s="41">
        <v>1232.53308105468</v>
      </c>
      <c r="S177" s="41">
        <f t="shared" si="4"/>
        <v>-7.9117449534282141E-4</v>
      </c>
      <c r="T177" s="41">
        <f t="shared" si="4"/>
        <v>-1.1791466489143285E-2</v>
      </c>
    </row>
    <row r="178" spans="16:20" ht="15" customHeight="1">
      <c r="P178" s="53">
        <v>45637</v>
      </c>
      <c r="Q178" s="41">
        <v>22302.599609375</v>
      </c>
      <c r="R178" s="41">
        <v>1230.74450683593</v>
      </c>
      <c r="S178" s="41">
        <f t="shared" si="4"/>
        <v>5.0020931863061977E-4</v>
      </c>
      <c r="T178" s="41">
        <f t="shared" si="4"/>
        <v>-1.4511368873113856E-3</v>
      </c>
    </row>
    <row r="179" spans="16:20" ht="15" customHeight="1">
      <c r="P179" s="53">
        <v>45638</v>
      </c>
      <c r="Q179" s="41">
        <v>22229.30078125</v>
      </c>
      <c r="R179" s="41">
        <v>1237.55126953125</v>
      </c>
      <c r="S179" s="41">
        <f t="shared" si="4"/>
        <v>-3.2865598364680546E-3</v>
      </c>
      <c r="T179" s="41">
        <f t="shared" si="4"/>
        <v>5.5306057898395393E-3</v>
      </c>
    </row>
    <row r="180" spans="16:20" ht="15" customHeight="1">
      <c r="P180" s="53">
        <v>45639</v>
      </c>
      <c r="Q180" s="41">
        <v>22157.349609375</v>
      </c>
      <c r="R180" s="41">
        <v>1238.49523925781</v>
      </c>
      <c r="S180" s="41">
        <f t="shared" si="4"/>
        <v>-3.2367717087929942E-3</v>
      </c>
      <c r="T180" s="41">
        <f t="shared" si="4"/>
        <v>7.6277221784722376E-4</v>
      </c>
    </row>
    <row r="181" spans="16:20" ht="15" customHeight="1">
      <c r="P181" s="53">
        <v>45642</v>
      </c>
      <c r="Q181" s="41">
        <v>22255.55078125</v>
      </c>
      <c r="R181" s="41">
        <v>1261.94653320312</v>
      </c>
      <c r="S181" s="41">
        <f t="shared" si="4"/>
        <v>4.4319909017209386E-3</v>
      </c>
      <c r="T181" s="41">
        <f t="shared" si="4"/>
        <v>1.8935312144892538E-2</v>
      </c>
    </row>
    <row r="182" spans="16:20" ht="15" customHeight="1">
      <c r="P182" s="53">
        <v>45643</v>
      </c>
      <c r="Q182" s="41">
        <v>22074.55078125</v>
      </c>
      <c r="R182" s="41">
        <v>1239.787109375</v>
      </c>
      <c r="S182" s="41">
        <f t="shared" si="4"/>
        <v>-8.1328025434665961E-3</v>
      </c>
      <c r="T182" s="41">
        <f t="shared" si="4"/>
        <v>-1.7559716869996161E-2</v>
      </c>
    </row>
    <row r="183" spans="16:20" ht="15" customHeight="1">
      <c r="P183" s="53">
        <v>45644</v>
      </c>
      <c r="Q183" s="41">
        <v>22314.55078125</v>
      </c>
      <c r="R183" s="41">
        <v>1267.36218261718</v>
      </c>
      <c r="S183" s="41">
        <f t="shared" si="4"/>
        <v>1.0872248426629576E-2</v>
      </c>
      <c r="T183" s="41">
        <f t="shared" si="4"/>
        <v>2.2241780894206191E-2</v>
      </c>
    </row>
    <row r="184" spans="16:20" ht="15" customHeight="1">
      <c r="P184" s="53">
        <v>45645</v>
      </c>
      <c r="Q184" s="41">
        <v>22697.900390625</v>
      </c>
      <c r="R184" s="41">
        <v>1317.24584960937</v>
      </c>
      <c r="S184" s="41">
        <f t="shared" si="4"/>
        <v>1.7179355889033309E-2</v>
      </c>
      <c r="T184" s="41">
        <f t="shared" si="4"/>
        <v>3.9360229992958441E-2</v>
      </c>
    </row>
    <row r="185" spans="16:20" ht="15" customHeight="1">
      <c r="P185" s="53">
        <v>45646</v>
      </c>
      <c r="Q185" s="41">
        <v>22501.849609375</v>
      </c>
      <c r="R185" s="41">
        <v>1335.18212890625</v>
      </c>
      <c r="S185" s="41">
        <f t="shared" si="4"/>
        <v>-8.6373971986843153E-3</v>
      </c>
      <c r="T185" s="41">
        <f t="shared" si="4"/>
        <v>1.3616500900115963E-2</v>
      </c>
    </row>
    <row r="186" spans="16:20" ht="15" customHeight="1">
      <c r="P186" s="53">
        <v>45649</v>
      </c>
      <c r="Q186" s="41">
        <v>22572.05078125</v>
      </c>
      <c r="R186" s="41">
        <v>1332.89660644531</v>
      </c>
      <c r="S186" s="41">
        <f t="shared" si="4"/>
        <v>3.1197956209676166E-3</v>
      </c>
      <c r="T186" s="41">
        <f t="shared" si="4"/>
        <v>-1.7117683134451835E-3</v>
      </c>
    </row>
    <row r="187" spans="16:20" ht="15" customHeight="1">
      <c r="P187" s="53">
        <v>45650</v>
      </c>
      <c r="Q187" s="41">
        <v>22558.900390625</v>
      </c>
      <c r="R187" s="41">
        <v>1342.38635253906</v>
      </c>
      <c r="S187" s="41">
        <f t="shared" si="4"/>
        <v>-5.8259618288311133E-4</v>
      </c>
      <c r="T187" s="41">
        <f t="shared" si="4"/>
        <v>7.1196415744940031E-3</v>
      </c>
    </row>
    <row r="188" spans="16:20" ht="15" customHeight="1">
      <c r="P188" s="53">
        <v>45652</v>
      </c>
      <c r="Q188" s="41">
        <v>22712.55078125</v>
      </c>
      <c r="R188" s="41">
        <v>1346.60961914062</v>
      </c>
      <c r="S188" s="41">
        <f t="shared" si="4"/>
        <v>6.8110762477081484E-3</v>
      </c>
      <c r="T188" s="41">
        <f t="shared" si="4"/>
        <v>3.146088749764098E-3</v>
      </c>
    </row>
    <row r="189" spans="16:20" ht="15" customHeight="1">
      <c r="P189" s="53">
        <v>45653</v>
      </c>
      <c r="Q189" s="41">
        <v>23008.349609375</v>
      </c>
      <c r="R189" s="41">
        <v>1380.693359375</v>
      </c>
      <c r="S189" s="41">
        <f t="shared" si="4"/>
        <v>1.3023584667962183E-2</v>
      </c>
      <c r="T189" s="41">
        <f t="shared" si="4"/>
        <v>2.5310780310727012E-2</v>
      </c>
    </row>
    <row r="190" spans="16:20" ht="15" customHeight="1">
      <c r="P190" s="53">
        <v>45656</v>
      </c>
      <c r="Q190" s="41">
        <v>23241.150390625</v>
      </c>
      <c r="R190" s="41">
        <v>1368.22253417968</v>
      </c>
      <c r="S190" s="41">
        <f t="shared" si="4"/>
        <v>1.0118099959466142E-2</v>
      </c>
      <c r="T190" s="41">
        <f t="shared" si="4"/>
        <v>-9.0322917182459588E-3</v>
      </c>
    </row>
    <row r="191" spans="16:20" ht="15" customHeight="1">
      <c r="P191" s="53">
        <v>45657</v>
      </c>
      <c r="Q191" s="41">
        <v>23412.25</v>
      </c>
      <c r="R191" s="41">
        <v>1379.74938964843</v>
      </c>
      <c r="S191" s="41">
        <f t="shared" si="4"/>
        <v>7.3619251413655513E-3</v>
      </c>
      <c r="T191" s="41">
        <f t="shared" si="4"/>
        <v>8.4246934842810081E-3</v>
      </c>
    </row>
    <row r="192" spans="16:20" ht="15" customHeight="1">
      <c r="P192" s="53">
        <v>45658</v>
      </c>
      <c r="Q192" s="41">
        <v>23459.75</v>
      </c>
      <c r="R192" s="41">
        <v>1360.37231445312</v>
      </c>
      <c r="S192" s="41">
        <f t="shared" si="4"/>
        <v>2.0288524170039191E-3</v>
      </c>
      <c r="T192" s="41">
        <f t="shared" si="4"/>
        <v>-1.4043909235029571E-2</v>
      </c>
    </row>
    <row r="193" spans="16:20" ht="15" customHeight="1">
      <c r="P193" s="53">
        <v>45659</v>
      </c>
      <c r="Q193" s="41">
        <v>23553.400390625</v>
      </c>
      <c r="R193" s="41">
        <v>1366.38427734375</v>
      </c>
      <c r="S193" s="41">
        <f t="shared" si="4"/>
        <v>3.9919602990227945E-3</v>
      </c>
      <c r="T193" s="41">
        <f t="shared" si="4"/>
        <v>4.4193511046620032E-3</v>
      </c>
    </row>
    <row r="194" spans="16:20" ht="15" customHeight="1">
      <c r="P194" s="53">
        <v>45660</v>
      </c>
      <c r="Q194" s="41">
        <v>23263.5</v>
      </c>
      <c r="R194" s="41">
        <v>1344.12536621093</v>
      </c>
      <c r="S194" s="41">
        <f t="shared" si="4"/>
        <v>-1.2308218168803751E-2</v>
      </c>
      <c r="T194" s="41">
        <f t="shared" si="4"/>
        <v>-1.6290374166256734E-2</v>
      </c>
    </row>
    <row r="195" spans="16:20" ht="15" customHeight="1">
      <c r="P195" s="53">
        <v>45663</v>
      </c>
      <c r="Q195" s="41">
        <v>23073.05078125</v>
      </c>
      <c r="R195" s="41">
        <v>1341.83984375</v>
      </c>
      <c r="S195" s="41">
        <f t="shared" si="4"/>
        <v>-8.1866107314032717E-3</v>
      </c>
      <c r="T195" s="41">
        <f t="shared" si="4"/>
        <v>-1.7003789366559247E-3</v>
      </c>
    </row>
    <row r="196" spans="16:20" ht="15" customHeight="1">
      <c r="P196" s="53">
        <v>45664</v>
      </c>
      <c r="Q196" s="41">
        <v>23228.55078125</v>
      </c>
      <c r="R196" s="41">
        <v>1343.03234863281</v>
      </c>
      <c r="S196" s="41">
        <f t="shared" si="4"/>
        <v>6.739464211917956E-3</v>
      </c>
      <c r="T196" s="41">
        <f t="shared" si="4"/>
        <v>8.8870880408301251E-4</v>
      </c>
    </row>
    <row r="197" spans="16:20" ht="15" customHeight="1">
      <c r="P197" s="53">
        <v>45665</v>
      </c>
      <c r="Q197" s="41">
        <v>23011.099609375</v>
      </c>
      <c r="R197" s="41">
        <v>1362.111328125</v>
      </c>
      <c r="S197" s="41">
        <f t="shared" si="4"/>
        <v>-9.3613748839865545E-3</v>
      </c>
      <c r="T197" s="41">
        <f t="shared" si="4"/>
        <v>1.420589720836744E-2</v>
      </c>
    </row>
    <row r="198" spans="16:20" ht="15" customHeight="1">
      <c r="P198" s="53">
        <v>45666</v>
      </c>
      <c r="Q198" s="41">
        <v>22868.099609375</v>
      </c>
      <c r="R198" s="41">
        <v>1362.95593261718</v>
      </c>
      <c r="S198" s="41">
        <f t="shared" si="4"/>
        <v>-6.2143922901337608E-3</v>
      </c>
      <c r="T198" s="41">
        <f t="shared" si="4"/>
        <v>6.2007008879562593E-4</v>
      </c>
    </row>
    <row r="199" spans="16:20" ht="15" customHeight="1">
      <c r="P199" s="53">
        <v>45667</v>
      </c>
      <c r="Q199" s="41">
        <v>22380.849609375</v>
      </c>
      <c r="R199" s="41">
        <v>1345.86437988281</v>
      </c>
      <c r="S199" s="41">
        <f t="shared" si="4"/>
        <v>-2.1306973833551394E-2</v>
      </c>
      <c r="T199" s="41">
        <f t="shared" si="4"/>
        <v>-1.2540062613433434E-2</v>
      </c>
    </row>
    <row r="200" spans="16:20" ht="15" customHeight="1">
      <c r="P200" s="53">
        <v>45670</v>
      </c>
      <c r="Q200" s="41">
        <v>21903.349609375</v>
      </c>
      <c r="R200" s="41">
        <v>1326.68591308593</v>
      </c>
      <c r="S200" s="41">
        <f t="shared" ref="S200:T252" si="5">(Q200-Q199)/Q199</f>
        <v>-2.1335204352563204E-2</v>
      </c>
      <c r="T200" s="41">
        <f t="shared" si="5"/>
        <v>-1.4249925240275659E-2</v>
      </c>
    </row>
    <row r="201" spans="16:20" ht="15" customHeight="1">
      <c r="P201" s="53">
        <v>45671</v>
      </c>
      <c r="Q201" s="41">
        <v>22203.900390625</v>
      </c>
      <c r="R201" s="41">
        <v>1329.12060546875</v>
      </c>
      <c r="S201" s="41">
        <f t="shared" si="5"/>
        <v>1.3721681231867807E-2</v>
      </c>
      <c r="T201" s="41">
        <f t="shared" si="5"/>
        <v>1.8351686399961853E-3</v>
      </c>
    </row>
    <row r="202" spans="16:20" ht="15" customHeight="1">
      <c r="P202" s="53">
        <v>45672</v>
      </c>
      <c r="Q202" s="41">
        <v>21972.69921875</v>
      </c>
      <c r="R202" s="41">
        <v>1328.77270507812</v>
      </c>
      <c r="S202" s="41">
        <f t="shared" si="5"/>
        <v>-1.0412637771182691E-2</v>
      </c>
      <c r="T202" s="41">
        <f t="shared" si="5"/>
        <v>-2.6175231141443766E-4</v>
      </c>
    </row>
    <row r="203" spans="16:20" ht="15" customHeight="1">
      <c r="P203" s="53">
        <v>45673</v>
      </c>
      <c r="Q203" s="41">
        <v>21909.75</v>
      </c>
      <c r="R203" s="41">
        <v>1294.53979492187</v>
      </c>
      <c r="S203" s="41">
        <f t="shared" si="5"/>
        <v>-2.8648832864504622E-3</v>
      </c>
      <c r="T203" s="41">
        <f t="shared" si="5"/>
        <v>-2.5762803544521491E-2</v>
      </c>
    </row>
    <row r="204" spans="16:20" ht="15" customHeight="1">
      <c r="P204" s="53">
        <v>45674</v>
      </c>
      <c r="Q204" s="41">
        <v>22061.69921875</v>
      </c>
      <c r="R204" s="41">
        <v>1301.14794921875</v>
      </c>
      <c r="S204" s="41">
        <f t="shared" si="5"/>
        <v>6.9352328871849292E-3</v>
      </c>
      <c r="T204" s="41">
        <f t="shared" si="5"/>
        <v>5.1046358889869645E-3</v>
      </c>
    </row>
    <row r="205" spans="16:20" ht="15" customHeight="1">
      <c r="P205" s="53">
        <v>45677</v>
      </c>
      <c r="Q205" s="41">
        <v>22182.400390625</v>
      </c>
      <c r="R205" s="41">
        <v>1294.14233398437</v>
      </c>
      <c r="S205" s="41">
        <f t="shared" si="5"/>
        <v>5.4710732241520805E-3</v>
      </c>
      <c r="T205" s="41">
        <f t="shared" si="5"/>
        <v>-5.3841803605703667E-3</v>
      </c>
    </row>
    <row r="206" spans="16:20" ht="15" customHeight="1">
      <c r="P206" s="53">
        <v>45678</v>
      </c>
      <c r="Q206" s="41">
        <v>21882.900390625</v>
      </c>
      <c r="R206" s="41">
        <v>1280.03186035156</v>
      </c>
      <c r="S206" s="41">
        <f t="shared" si="5"/>
        <v>-1.3501694799746666E-2</v>
      </c>
      <c r="T206" s="41">
        <f t="shared" si="5"/>
        <v>-1.0903339812219155E-2</v>
      </c>
    </row>
    <row r="207" spans="16:20" ht="15" customHeight="1">
      <c r="P207" s="53">
        <v>45679</v>
      </c>
      <c r="Q207" s="41">
        <v>22034.94921875</v>
      </c>
      <c r="R207" s="41">
        <v>1288.08081054687</v>
      </c>
      <c r="S207" s="41">
        <f t="shared" si="5"/>
        <v>6.9482941205609222E-3</v>
      </c>
      <c r="T207" s="41">
        <f t="shared" si="5"/>
        <v>6.2880858239726624E-3</v>
      </c>
    </row>
    <row r="208" spans="16:20" ht="15" customHeight="1">
      <c r="P208" s="53">
        <v>45680</v>
      </c>
      <c r="Q208" s="41">
        <v>22343.30078125</v>
      </c>
      <c r="R208" s="41">
        <v>1281.27404785156</v>
      </c>
      <c r="S208" s="41">
        <f t="shared" si="5"/>
        <v>1.3993749631045993E-2</v>
      </c>
      <c r="T208" s="41">
        <f t="shared" si="5"/>
        <v>-5.284422094930602E-3</v>
      </c>
    </row>
    <row r="209" spans="16:20" ht="15" customHeight="1">
      <c r="P209" s="53">
        <v>45681</v>
      </c>
      <c r="Q209" s="41">
        <v>21872.400390625</v>
      </c>
      <c r="R209" s="41">
        <v>1216.68359375</v>
      </c>
      <c r="S209" s="41">
        <f t="shared" si="5"/>
        <v>-2.1075685962217771E-2</v>
      </c>
      <c r="T209" s="41">
        <f t="shared" si="5"/>
        <v>-5.0411115568808451E-2</v>
      </c>
    </row>
    <row r="210" spans="16:20" ht="15" customHeight="1">
      <c r="P210" s="53">
        <v>45684</v>
      </c>
      <c r="Q210" s="41">
        <v>21292.30078125</v>
      </c>
      <c r="R210" s="41">
        <v>1190.10217285156</v>
      </c>
      <c r="S210" s="41">
        <f t="shared" si="5"/>
        <v>-2.6521991140197106E-2</v>
      </c>
      <c r="T210" s="41">
        <f t="shared" si="5"/>
        <v>-2.1847439247957724E-2</v>
      </c>
    </row>
    <row r="211" spans="16:20" ht="15" customHeight="1">
      <c r="P211" s="53">
        <v>45685</v>
      </c>
      <c r="Q211" s="41">
        <v>20796.599609375</v>
      </c>
      <c r="R211" s="41">
        <v>1173.80554199218</v>
      </c>
      <c r="S211" s="41">
        <f t="shared" si="5"/>
        <v>-2.3280770686440539E-2</v>
      </c>
      <c r="T211" s="41">
        <f t="shared" si="5"/>
        <v>-1.3693472065790994E-2</v>
      </c>
    </row>
    <row r="212" spans="16:20" ht="15" customHeight="1">
      <c r="P212" s="53">
        <v>45686</v>
      </c>
      <c r="Q212" s="41">
        <v>21163.900390625</v>
      </c>
      <c r="R212" s="41">
        <v>1173.755859375</v>
      </c>
      <c r="S212" s="41">
        <f t="shared" si="5"/>
        <v>1.7661578726765634E-2</v>
      </c>
      <c r="T212" s="41">
        <f t="shared" si="5"/>
        <v>-4.2326105477126519E-5</v>
      </c>
    </row>
    <row r="213" spans="16:20" ht="15" customHeight="1">
      <c r="P213" s="53">
        <v>45687</v>
      </c>
      <c r="Q213" s="41">
        <v>21419.650390625</v>
      </c>
      <c r="R213" s="41">
        <v>1186.97204589843</v>
      </c>
      <c r="S213" s="41">
        <f t="shared" si="5"/>
        <v>1.2084256459328731E-2</v>
      </c>
      <c r="T213" s="41">
        <f t="shared" si="5"/>
        <v>1.1259740616304428E-2</v>
      </c>
    </row>
    <row r="214" spans="16:20" ht="15" customHeight="1">
      <c r="P214" s="53">
        <v>45688</v>
      </c>
      <c r="Q214" s="41">
        <v>21438.599609375</v>
      </c>
      <c r="R214" s="41">
        <v>1209.67797851562</v>
      </c>
      <c r="S214" s="41">
        <f t="shared" si="5"/>
        <v>8.8466517447426389E-4</v>
      </c>
      <c r="T214" s="41">
        <f t="shared" si="5"/>
        <v>1.912929010893738E-2</v>
      </c>
    </row>
    <row r="215" spans="16:20" ht="15" customHeight="1">
      <c r="P215" s="53">
        <v>45691</v>
      </c>
      <c r="Q215" s="41">
        <v>21361.599609375</v>
      </c>
      <c r="R215" s="41">
        <v>1196.26306152343</v>
      </c>
      <c r="S215" s="41">
        <f t="shared" si="5"/>
        <v>-3.5916525054336223E-3</v>
      </c>
      <c r="T215" s="41">
        <f t="shared" si="5"/>
        <v>-1.1089659587464154E-2</v>
      </c>
    </row>
    <row r="216" spans="16:20" ht="15" customHeight="1">
      <c r="P216" s="53">
        <v>45692</v>
      </c>
      <c r="Q216" s="41">
        <v>21733.94921875</v>
      </c>
      <c r="R216" s="41">
        <v>1212.26159667968</v>
      </c>
      <c r="S216" s="41">
        <f t="shared" si="5"/>
        <v>1.7430792458612804E-2</v>
      </c>
      <c r="T216" s="41">
        <f t="shared" si="5"/>
        <v>1.3373760062336133E-2</v>
      </c>
    </row>
    <row r="217" spans="16:20" ht="15" customHeight="1">
      <c r="P217" s="53">
        <v>45693</v>
      </c>
      <c r="Q217" s="41">
        <v>21868.5</v>
      </c>
      <c r="R217" s="41">
        <v>1219.81384277343</v>
      </c>
      <c r="S217" s="41">
        <f t="shared" si="5"/>
        <v>6.1908114303461373E-3</v>
      </c>
      <c r="T217" s="41">
        <f t="shared" si="5"/>
        <v>6.2298814995337638E-3</v>
      </c>
    </row>
    <row r="218" spans="16:20" ht="15" customHeight="1">
      <c r="P218" s="53">
        <v>45694</v>
      </c>
      <c r="Q218" s="41">
        <v>22009.05078125</v>
      </c>
      <c r="R218" s="41">
        <v>1228.8564453125</v>
      </c>
      <c r="S218" s="41">
        <f t="shared" si="5"/>
        <v>6.427088334819489E-3</v>
      </c>
      <c r="T218" s="41">
        <f t="shared" si="5"/>
        <v>7.4131004436794124E-3</v>
      </c>
    </row>
    <row r="219" spans="16:20" ht="15" customHeight="1">
      <c r="P219" s="53">
        <v>45695</v>
      </c>
      <c r="Q219" s="41">
        <v>22077</v>
      </c>
      <c r="R219" s="41">
        <v>1232.58276367187</v>
      </c>
      <c r="S219" s="41">
        <f t="shared" si="5"/>
        <v>3.0873307270428696E-3</v>
      </c>
      <c r="T219" s="41">
        <f t="shared" si="5"/>
        <v>3.0323463522400206E-3</v>
      </c>
    </row>
    <row r="220" spans="16:20" ht="15" customHeight="1">
      <c r="P220" s="53">
        <v>45698</v>
      </c>
      <c r="Q220" s="41">
        <v>21665.650390625</v>
      </c>
      <c r="R220" s="41">
        <v>1213.25524902343</v>
      </c>
      <c r="S220" s="41">
        <f t="shared" si="5"/>
        <v>-1.8632495781809123E-2</v>
      </c>
      <c r="T220" s="41">
        <f t="shared" si="5"/>
        <v>-1.5680500505185747E-2</v>
      </c>
    </row>
    <row r="221" spans="16:20" ht="15" customHeight="1">
      <c r="P221" s="53">
        <v>45699</v>
      </c>
      <c r="Q221" s="41">
        <v>21249.5</v>
      </c>
      <c r="R221" s="41">
        <v>1202.17565917968</v>
      </c>
      <c r="S221" s="41">
        <f t="shared" si="5"/>
        <v>-1.9207842050524063E-2</v>
      </c>
      <c r="T221" s="41">
        <f t="shared" si="5"/>
        <v>-9.1321177902738537E-3</v>
      </c>
    </row>
    <row r="222" spans="16:20" ht="15" customHeight="1">
      <c r="P222" s="53">
        <v>45700</v>
      </c>
      <c r="Q222" s="41">
        <v>21142.05078125</v>
      </c>
      <c r="R222" s="41">
        <v>1208.1875</v>
      </c>
      <c r="S222" s="41">
        <f t="shared" si="5"/>
        <v>-5.0565528012423821E-3</v>
      </c>
      <c r="T222" s="41">
        <f t="shared" si="5"/>
        <v>5.0008006520629936E-3</v>
      </c>
    </row>
    <row r="223" spans="16:20" ht="15" customHeight="1">
      <c r="P223" s="53">
        <v>45701</v>
      </c>
      <c r="Q223" s="41">
        <v>21427.099609375</v>
      </c>
      <c r="R223" s="41">
        <v>1215.888671875</v>
      </c>
      <c r="S223" s="41">
        <f t="shared" si="5"/>
        <v>1.3482553375465254E-2</v>
      </c>
      <c r="T223" s="41">
        <f t="shared" si="5"/>
        <v>6.3741529150069835E-3</v>
      </c>
    </row>
    <row r="224" spans="16:20" ht="15" customHeight="1">
      <c r="P224" s="53">
        <v>45702</v>
      </c>
      <c r="Q224" s="41">
        <v>20811.55078125</v>
      </c>
      <c r="R224" s="41">
        <v>1189.50598144531</v>
      </c>
      <c r="S224" s="41">
        <f t="shared" si="5"/>
        <v>-2.872758513035889E-2</v>
      </c>
      <c r="T224" s="41">
        <f t="shared" si="5"/>
        <v>-2.1698278008467443E-2</v>
      </c>
    </row>
    <row r="225" spans="16:20" ht="15" customHeight="1">
      <c r="P225" s="53">
        <v>45705</v>
      </c>
      <c r="Q225" s="41">
        <v>21076</v>
      </c>
      <c r="R225" s="41">
        <v>1191.39392089843</v>
      </c>
      <c r="S225" s="41">
        <f t="shared" si="5"/>
        <v>1.2706848304079935E-2</v>
      </c>
      <c r="T225" s="41">
        <f t="shared" si="5"/>
        <v>1.5871626394228433E-3</v>
      </c>
    </row>
    <row r="226" spans="16:20" ht="15" customHeight="1">
      <c r="P226" s="53">
        <v>45706</v>
      </c>
      <c r="Q226" s="41">
        <v>20969.19921875</v>
      </c>
      <c r="R226" s="41">
        <v>1189.85375976562</v>
      </c>
      <c r="S226" s="41">
        <f t="shared" si="5"/>
        <v>-5.0674122817422661E-3</v>
      </c>
      <c r="T226" s="41">
        <f t="shared" si="5"/>
        <v>-1.2927387875611817E-3</v>
      </c>
    </row>
    <row r="227" spans="16:20" ht="15" customHeight="1">
      <c r="P227" s="53">
        <v>45707</v>
      </c>
      <c r="Q227" s="41">
        <v>20820</v>
      </c>
      <c r="R227" s="41">
        <v>1158.50256347656</v>
      </c>
      <c r="S227" s="41">
        <f t="shared" si="5"/>
        <v>-7.1151605358678047E-3</v>
      </c>
      <c r="T227" s="41">
        <f t="shared" si="5"/>
        <v>-2.6348781126880355E-2</v>
      </c>
    </row>
    <row r="228" spans="16:20" ht="15" customHeight="1">
      <c r="P228" s="53">
        <v>45708</v>
      </c>
      <c r="Q228" s="41">
        <v>20785.75</v>
      </c>
      <c r="R228" s="41">
        <v>1163.57043457031</v>
      </c>
      <c r="S228" s="41">
        <f t="shared" si="5"/>
        <v>-1.6450528338136407E-3</v>
      </c>
      <c r="T228" s="41">
        <f t="shared" si="5"/>
        <v>4.3745014068348569E-3</v>
      </c>
    </row>
    <row r="229" spans="16:20" ht="15" customHeight="1">
      <c r="P229" s="53">
        <v>45709</v>
      </c>
      <c r="Q229" s="41">
        <v>20385.650390625</v>
      </c>
      <c r="R229" s="41">
        <v>1144.54125976562</v>
      </c>
      <c r="S229" s="41">
        <f t="shared" si="5"/>
        <v>-1.9248745384458102E-2</v>
      </c>
      <c r="T229" s="41">
        <f t="shared" si="5"/>
        <v>-1.6354123686304563E-2</v>
      </c>
    </row>
    <row r="230" spans="16:20" ht="15" customHeight="1">
      <c r="P230" s="53">
        <v>45712</v>
      </c>
      <c r="Q230" s="41">
        <v>20389.69921875</v>
      </c>
      <c r="R230" s="41">
        <v>1157.21081542968</v>
      </c>
      <c r="S230" s="41">
        <f t="shared" si="5"/>
        <v>1.9861167279028706E-4</v>
      </c>
      <c r="T230" s="41">
        <f t="shared" si="5"/>
        <v>1.1069549093105197E-2</v>
      </c>
    </row>
    <row r="231" spans="16:20" ht="15" customHeight="1">
      <c r="P231" s="53">
        <v>45713</v>
      </c>
      <c r="Q231" s="41">
        <v>20249.150390625</v>
      </c>
      <c r="R231" s="41">
        <v>1121.04028320312</v>
      </c>
      <c r="S231" s="41">
        <f t="shared" si="5"/>
        <v>-6.893129055859433E-3</v>
      </c>
      <c r="T231" s="41">
        <f t="shared" si="5"/>
        <v>-3.1256648956508107E-2</v>
      </c>
    </row>
    <row r="232" spans="16:20" ht="15" customHeight="1">
      <c r="P232" s="53">
        <v>45715</v>
      </c>
      <c r="Q232" s="41">
        <v>20201.25</v>
      </c>
      <c r="R232" s="41">
        <v>1118.45666503906</v>
      </c>
      <c r="S232" s="41">
        <f t="shared" si="5"/>
        <v>-2.3655506379752621E-3</v>
      </c>
      <c r="T232" s="41">
        <f t="shared" si="5"/>
        <v>-2.3046613067979073E-3</v>
      </c>
    </row>
    <row r="233" spans="16:20" ht="15" customHeight="1">
      <c r="P233" s="53">
        <v>45716</v>
      </c>
      <c r="Q233" s="41">
        <v>19813.5</v>
      </c>
      <c r="R233" s="41">
        <v>1109.46362304687</v>
      </c>
      <c r="S233" s="41">
        <f t="shared" si="5"/>
        <v>-1.9194356784852422E-2</v>
      </c>
      <c r="T233" s="41">
        <f t="shared" si="5"/>
        <v>-8.0405815203183906E-3</v>
      </c>
    </row>
    <row r="234" spans="16:20" ht="15" customHeight="1">
      <c r="P234" s="53">
        <v>45719</v>
      </c>
      <c r="Q234" s="41">
        <v>19879.80078125</v>
      </c>
      <c r="R234" s="41">
        <v>1112.54406738281</v>
      </c>
      <c r="S234" s="41">
        <f t="shared" si="5"/>
        <v>3.3462427763898354E-3</v>
      </c>
      <c r="T234" s="41">
        <f t="shared" si="5"/>
        <v>2.7765167527352684E-3</v>
      </c>
    </row>
    <row r="235" spans="16:20" ht="15" customHeight="1">
      <c r="P235" s="53">
        <v>45720</v>
      </c>
      <c r="Q235" s="41">
        <v>19820.650390625</v>
      </c>
      <c r="R235" s="41">
        <v>1113.09069824218</v>
      </c>
      <c r="S235" s="41">
        <f t="shared" si="5"/>
        <v>-2.9754015785102223E-3</v>
      </c>
      <c r="T235" s="41">
        <f t="shared" si="5"/>
        <v>4.9133411915620797E-4</v>
      </c>
    </row>
    <row r="236" spans="16:20" ht="15" customHeight="1">
      <c r="P236" s="53">
        <v>45721</v>
      </c>
      <c r="Q236" s="41">
        <v>20126.80078125</v>
      </c>
      <c r="R236" s="41">
        <v>1119.30126953125</v>
      </c>
      <c r="S236" s="41">
        <f t="shared" si="5"/>
        <v>1.544603151720019E-2</v>
      </c>
      <c r="T236" s="41">
        <f t="shared" si="5"/>
        <v>5.5795734335736423E-3</v>
      </c>
    </row>
    <row r="237" spans="16:20" ht="15" customHeight="1">
      <c r="P237" s="53">
        <v>45722</v>
      </c>
      <c r="Q237" s="41">
        <v>20423.349609375</v>
      </c>
      <c r="R237" s="41">
        <v>1132.91491699218</v>
      </c>
      <c r="S237" s="41">
        <f t="shared" si="5"/>
        <v>1.4734027098895071E-2</v>
      </c>
      <c r="T237" s="41">
        <f t="shared" si="5"/>
        <v>1.2162630233262604E-2</v>
      </c>
    </row>
    <row r="238" spans="16:20" ht="15" customHeight="1">
      <c r="P238" s="53">
        <v>45723</v>
      </c>
      <c r="Q238" s="41">
        <v>20378.30078125</v>
      </c>
      <c r="R238" s="41">
        <v>1126.10803222656</v>
      </c>
      <c r="S238" s="41">
        <f t="shared" si="5"/>
        <v>-2.2057512105811026E-3</v>
      </c>
      <c r="T238" s="41">
        <f t="shared" si="5"/>
        <v>-6.0082930002297629E-3</v>
      </c>
    </row>
    <row r="239" spans="16:20" ht="15" customHeight="1">
      <c r="P239" s="53">
        <v>45726</v>
      </c>
      <c r="Q239" s="41">
        <v>20256.55078125</v>
      </c>
      <c r="R239" s="41">
        <v>1113.14025878906</v>
      </c>
      <c r="S239" s="41">
        <f t="shared" si="5"/>
        <v>-5.9744922457922369E-3</v>
      </c>
      <c r="T239" s="41">
        <f t="shared" si="5"/>
        <v>-1.1515567837536775E-2</v>
      </c>
    </row>
    <row r="240" spans="16:20" ht="15" customHeight="1">
      <c r="P240" s="53">
        <v>45727</v>
      </c>
      <c r="Q240" s="41">
        <v>20332.099609375</v>
      </c>
      <c r="R240" s="41">
        <v>1109.61267089843</v>
      </c>
      <c r="S240" s="41">
        <f t="shared" si="5"/>
        <v>3.7295998188857501E-3</v>
      </c>
      <c r="T240" s="41">
        <f t="shared" si="5"/>
        <v>-3.169041693332987E-3</v>
      </c>
    </row>
    <row r="241" spans="16:20" ht="15" customHeight="1">
      <c r="P241" s="53">
        <v>45728</v>
      </c>
      <c r="Q241" s="41">
        <v>20424</v>
      </c>
      <c r="R241" s="41">
        <v>1098.18518066406</v>
      </c>
      <c r="S241" s="41">
        <f t="shared" si="5"/>
        <v>4.5199655908937869E-3</v>
      </c>
      <c r="T241" s="41">
        <f t="shared" si="5"/>
        <v>-1.0298629903998302E-2</v>
      </c>
    </row>
    <row r="242" spans="16:20" ht="15" customHeight="1">
      <c r="P242" s="53">
        <v>45729</v>
      </c>
      <c r="Q242" s="41">
        <v>20386.849609375</v>
      </c>
      <c r="R242" s="41">
        <v>1100.96740722656</v>
      </c>
      <c r="S242" s="41">
        <f t="shared" si="5"/>
        <v>-1.8189576295045045E-3</v>
      </c>
      <c r="T242" s="41">
        <f t="shared" si="5"/>
        <v>2.5334766954491403E-3</v>
      </c>
    </row>
    <row r="243" spans="16:20" ht="15" customHeight="1">
      <c r="P243" s="53">
        <v>45733</v>
      </c>
      <c r="Q243" s="41">
        <v>20703.94921875</v>
      </c>
      <c r="R243" s="41">
        <v>1143.44799804687</v>
      </c>
      <c r="S243" s="41">
        <f t="shared" si="5"/>
        <v>1.5554125107646847E-2</v>
      </c>
      <c r="T243" s="41">
        <f t="shared" si="5"/>
        <v>3.8584785109418075E-2</v>
      </c>
    </row>
    <row r="244" spans="16:20" ht="15" customHeight="1">
      <c r="P244" s="53">
        <v>45734</v>
      </c>
      <c r="Q244" s="41">
        <v>21041.30078125</v>
      </c>
      <c r="R244" s="41">
        <v>1143.44799804687</v>
      </c>
      <c r="S244" s="41">
        <f t="shared" si="5"/>
        <v>1.6294068292752872E-2</v>
      </c>
      <c r="T244" s="41">
        <f t="shared" si="5"/>
        <v>0</v>
      </c>
    </row>
    <row r="245" spans="16:20" ht="15" customHeight="1">
      <c r="P245" s="53">
        <v>45735</v>
      </c>
      <c r="Q245" s="41">
        <v>21145.650390625</v>
      </c>
      <c r="R245" s="41">
        <v>1164.71313476562</v>
      </c>
      <c r="S245" s="41">
        <f t="shared" si="5"/>
        <v>4.9592755913639344E-3</v>
      </c>
      <c r="T245" s="41">
        <f t="shared" si="5"/>
        <v>1.8597379815324441E-2</v>
      </c>
    </row>
    <row r="246" spans="16:20" ht="15" customHeight="1">
      <c r="P246" s="53">
        <v>45736</v>
      </c>
      <c r="Q246" s="41">
        <v>21340.599609375</v>
      </c>
      <c r="R246" s="41">
        <v>1179.71801757812</v>
      </c>
      <c r="S246" s="41">
        <f t="shared" si="5"/>
        <v>9.2193531600442725E-3</v>
      </c>
      <c r="T246" s="41">
        <f t="shared" si="5"/>
        <v>1.2882899973064608E-2</v>
      </c>
    </row>
    <row r="247" spans="16:20" ht="15" customHeight="1">
      <c r="P247" s="53">
        <v>45737</v>
      </c>
      <c r="Q247" s="41">
        <v>21625.900390625</v>
      </c>
      <c r="R247" s="41">
        <v>1192.58642578125</v>
      </c>
      <c r="S247" s="41">
        <f t="shared" si="5"/>
        <v>1.3368920577314349E-2</v>
      </c>
      <c r="T247" s="41">
        <f t="shared" si="5"/>
        <v>1.0908037354170414E-2</v>
      </c>
    </row>
    <row r="248" spans="16:20" ht="15" customHeight="1">
      <c r="P248" s="53">
        <v>45740</v>
      </c>
      <c r="Q248" s="41">
        <v>21771.150390625</v>
      </c>
      <c r="R248" s="41">
        <v>1202.67248535156</v>
      </c>
      <c r="S248" s="41">
        <f t="shared" si="5"/>
        <v>6.7164833545135085E-3</v>
      </c>
      <c r="T248" s="41">
        <f t="shared" si="5"/>
        <v>8.4572986512929105E-3</v>
      </c>
    </row>
    <row r="249" spans="16:20" ht="15" customHeight="1">
      <c r="P249" s="53">
        <v>45741</v>
      </c>
      <c r="Q249" s="41">
        <v>21542.5</v>
      </c>
      <c r="R249" s="41">
        <v>1170.47668457031</v>
      </c>
      <c r="S249" s="41">
        <f t="shared" si="5"/>
        <v>-1.0502448723309563E-2</v>
      </c>
      <c r="T249" s="41">
        <f t="shared" si="5"/>
        <v>-2.6770214811922519E-2</v>
      </c>
    </row>
    <row r="250" spans="16:20" ht="15" customHeight="1">
      <c r="P250" s="53">
        <v>45742</v>
      </c>
      <c r="Q250" s="41">
        <v>21360.599609375</v>
      </c>
      <c r="R250" s="41">
        <v>1157.26049804687</v>
      </c>
      <c r="S250" s="41">
        <f t="shared" si="5"/>
        <v>-8.4437920680051053E-3</v>
      </c>
      <c r="T250" s="41">
        <f t="shared" si="5"/>
        <v>-1.1291285591298859E-2</v>
      </c>
    </row>
    <row r="251" spans="16:20" ht="15" customHeight="1">
      <c r="P251" s="53">
        <v>45743</v>
      </c>
      <c r="Q251" s="41">
        <v>21275.150390625</v>
      </c>
      <c r="R251" s="41">
        <v>1154.87561035156</v>
      </c>
      <c r="S251" s="41">
        <f t="shared" si="5"/>
        <v>-4.0003192940565677E-3</v>
      </c>
      <c r="T251" s="41">
        <f t="shared" si="5"/>
        <v>-2.0608045460248736E-3</v>
      </c>
    </row>
    <row r="252" spans="16:20" ht="15" customHeight="1">
      <c r="P252" s="53">
        <v>45744</v>
      </c>
      <c r="Q252" s="41">
        <v>21137.44921875</v>
      </c>
      <c r="R252" s="41">
        <v>1136.98901367187</v>
      </c>
      <c r="S252" s="41">
        <f t="shared" si="5"/>
        <v>-6.4723947585197186E-3</v>
      </c>
      <c r="T252" s="41">
        <f t="shared" si="5"/>
        <v>-1.548789888656933E-2</v>
      </c>
    </row>
  </sheetData>
  <mergeCells count="2">
    <mergeCell ref="C2:F2"/>
    <mergeCell ref="P2:T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6A1CB-230F-4C19-8FF9-680DCDA3A1B4}">
  <dimension ref="A2:I252"/>
  <sheetViews>
    <sheetView workbookViewId="0">
      <selection sqref="A1:I1048576"/>
    </sheetView>
  </sheetViews>
  <sheetFormatPr defaultRowHeight="14.4"/>
  <cols>
    <col min="1" max="1" width="10.33203125" bestFit="1" customWidth="1"/>
    <col min="8" max="8" width="25.6640625" bestFit="1" customWidth="1"/>
    <col min="9" max="9" width="15.6640625" bestFit="1" customWidth="1"/>
  </cols>
  <sheetData>
    <row r="2" spans="1:9">
      <c r="C2" t="s">
        <v>151</v>
      </c>
    </row>
    <row r="3" spans="1:9">
      <c r="A3" t="s">
        <v>1</v>
      </c>
      <c r="B3" t="s">
        <v>2</v>
      </c>
      <c r="C3" t="s">
        <v>2</v>
      </c>
      <c r="D3" t="s">
        <v>3</v>
      </c>
      <c r="E3" t="s">
        <v>3</v>
      </c>
      <c r="H3" t="s">
        <v>142</v>
      </c>
      <c r="I3" t="s">
        <v>143</v>
      </c>
    </row>
    <row r="4" spans="1:9">
      <c r="A4" t="s">
        <v>6</v>
      </c>
      <c r="B4" t="s">
        <v>7</v>
      </c>
      <c r="C4" t="s">
        <v>151</v>
      </c>
      <c r="D4" t="s">
        <v>8</v>
      </c>
      <c r="E4" t="s">
        <v>9</v>
      </c>
      <c r="H4">
        <f>_xlfn.COVARIANCE.S(D7:D252,E7:E252)</f>
        <v>1.3062992815790923E-4</v>
      </c>
      <c r="I4">
        <f>_xlfn.VAR.S(D7:D252)</f>
        <v>1.0123143075821166E-4</v>
      </c>
    </row>
    <row r="5" spans="1:9">
      <c r="A5" t="s">
        <v>10</v>
      </c>
    </row>
    <row r="6" spans="1:9">
      <c r="A6" s="2">
        <v>45383</v>
      </c>
      <c r="B6">
        <v>19207.900390625</v>
      </c>
      <c r="C6">
        <v>1606.66943359375</v>
      </c>
      <c r="H6" t="s">
        <v>11</v>
      </c>
    </row>
    <row r="7" spans="1:9">
      <c r="A7" s="2">
        <v>45384</v>
      </c>
      <c r="B7">
        <v>19185.150390625</v>
      </c>
      <c r="C7">
        <v>1592.96520996093</v>
      </c>
      <c r="D7">
        <f>(B7-B6)/B6</f>
        <v>-1.1844084744995777E-3</v>
      </c>
      <c r="E7">
        <f>(C7-C6)/C6</f>
        <v>-8.5295850822074866E-3</v>
      </c>
      <c r="H7">
        <f>H4/I4</f>
        <v>1.2904087908222401</v>
      </c>
    </row>
    <row r="8" spans="1:9">
      <c r="A8" s="2">
        <v>45385</v>
      </c>
      <c r="B8">
        <v>19153.05078125</v>
      </c>
      <c r="C8">
        <v>1588.51257324218</v>
      </c>
      <c r="D8">
        <f t="shared" ref="D8:D71" si="0">(B8-B7)/B7</f>
        <v>-1.6731486968528414E-3</v>
      </c>
      <c r="E8">
        <f t="shared" ref="E8:E71" si="1">(C8-C7)/C7</f>
        <v>-2.7951876732193091E-3</v>
      </c>
    </row>
    <row r="9" spans="1:9">
      <c r="A9" s="2">
        <v>45386</v>
      </c>
      <c r="B9">
        <v>19125.19921875</v>
      </c>
      <c r="C9">
        <v>1570.55346679687</v>
      </c>
      <c r="D9">
        <f t="shared" si="0"/>
        <v>-1.4541580251677432E-3</v>
      </c>
      <c r="E9">
        <f t="shared" si="1"/>
        <v>-1.1305611770296015E-2</v>
      </c>
      <c r="H9" t="s">
        <v>12</v>
      </c>
    </row>
    <row r="10" spans="1:9">
      <c r="A10" s="2">
        <v>45387</v>
      </c>
      <c r="B10">
        <v>19160.75</v>
      </c>
      <c r="C10">
        <v>1582.42724609375</v>
      </c>
      <c r="D10">
        <f t="shared" si="0"/>
        <v>1.8588450161160495E-3</v>
      </c>
      <c r="E10">
        <f t="shared" si="1"/>
        <v>7.5602515596597105E-3</v>
      </c>
      <c r="H10">
        <f>AVERAGE(D7:D252)</f>
        <v>4.3962859287504746E-4</v>
      </c>
    </row>
    <row r="11" spans="1:9">
      <c r="A11" s="2">
        <v>45390</v>
      </c>
      <c r="B11">
        <v>19218.849609375</v>
      </c>
      <c r="C11">
        <v>1595.04309082031</v>
      </c>
      <c r="D11">
        <f t="shared" si="0"/>
        <v>3.0322200005219002E-3</v>
      </c>
      <c r="E11">
        <f t="shared" si="1"/>
        <v>7.9724642998295417E-3</v>
      </c>
    </row>
    <row r="12" spans="1:9">
      <c r="A12" s="2">
        <v>45391</v>
      </c>
      <c r="B12">
        <v>19182.30078125</v>
      </c>
      <c r="C12">
        <v>1588.76000976562</v>
      </c>
      <c r="D12">
        <f t="shared" si="0"/>
        <v>-1.901717785812289E-3</v>
      </c>
      <c r="E12">
        <f t="shared" si="1"/>
        <v>-3.9391293507053116E-3</v>
      </c>
    </row>
    <row r="13" spans="1:9">
      <c r="A13" s="2">
        <v>45392</v>
      </c>
      <c r="B13">
        <v>19117</v>
      </c>
      <c r="C13">
        <v>1587.72094726562</v>
      </c>
      <c r="D13">
        <f t="shared" si="0"/>
        <v>-3.4042204840114454E-3</v>
      </c>
      <c r="E13">
        <f t="shared" si="1"/>
        <v>-6.5400846799592248E-4</v>
      </c>
    </row>
    <row r="14" spans="1:9">
      <c r="A14" s="2">
        <v>45394</v>
      </c>
      <c r="B14">
        <v>18788.650390625</v>
      </c>
      <c r="C14">
        <v>1605.18530273437</v>
      </c>
      <c r="D14">
        <f t="shared" si="0"/>
        <v>-1.717579167102579E-2</v>
      </c>
      <c r="E14">
        <f t="shared" si="1"/>
        <v>1.0999637876433632E-2</v>
      </c>
    </row>
    <row r="15" spans="1:9">
      <c r="A15" s="2">
        <v>45397</v>
      </c>
      <c r="B15">
        <v>18617.650390625</v>
      </c>
      <c r="C15">
        <v>1592.17358398437</v>
      </c>
      <c r="D15">
        <f t="shared" si="0"/>
        <v>-9.1012391228123615E-3</v>
      </c>
      <c r="E15">
        <f t="shared" si="1"/>
        <v>-8.1060540037558582E-3</v>
      </c>
    </row>
    <row r="16" spans="1:9">
      <c r="A16" s="2">
        <v>45398</v>
      </c>
      <c r="B16">
        <v>18695.599609375</v>
      </c>
      <c r="C16">
        <v>1594.49877929687</v>
      </c>
      <c r="D16">
        <f t="shared" si="0"/>
        <v>4.1868451235528448E-3</v>
      </c>
      <c r="E16">
        <f t="shared" si="1"/>
        <v>1.4603905854795453E-3</v>
      </c>
    </row>
    <row r="17" spans="1:5">
      <c r="A17" s="2">
        <v>45400</v>
      </c>
      <c r="B17">
        <v>18525.75</v>
      </c>
      <c r="C17">
        <v>1577.28186035156</v>
      </c>
      <c r="D17">
        <f t="shared" si="0"/>
        <v>-9.0850046494271343E-3</v>
      </c>
      <c r="E17">
        <f t="shared" si="1"/>
        <v>-1.0797699671430407E-2</v>
      </c>
    </row>
    <row r="18" spans="1:5">
      <c r="A18" s="2">
        <v>45401</v>
      </c>
      <c r="B18">
        <v>18404.599609375</v>
      </c>
      <c r="C18">
        <v>1531.27111816406</v>
      </c>
      <c r="D18">
        <f t="shared" si="0"/>
        <v>-6.5395673926831573E-3</v>
      </c>
      <c r="E18">
        <f t="shared" si="1"/>
        <v>-2.9170906826535541E-2</v>
      </c>
    </row>
    <row r="19" spans="1:5">
      <c r="A19" s="2">
        <v>45404</v>
      </c>
      <c r="B19">
        <v>18643</v>
      </c>
      <c r="C19">
        <v>1586.78088378906</v>
      </c>
      <c r="D19">
        <f t="shared" si="0"/>
        <v>1.2953304917514357E-2</v>
      </c>
      <c r="E19">
        <f t="shared" si="1"/>
        <v>3.6250775559297593E-2</v>
      </c>
    </row>
    <row r="20" spans="1:5">
      <c r="A20" s="2">
        <v>45405</v>
      </c>
      <c r="B20">
        <v>18463.75</v>
      </c>
      <c r="C20">
        <v>1563.42919921875</v>
      </c>
      <c r="D20">
        <f t="shared" si="0"/>
        <v>-9.6148688515796821E-3</v>
      </c>
      <c r="E20">
        <f t="shared" si="1"/>
        <v>-1.4716388890789205E-2</v>
      </c>
    </row>
    <row r="21" spans="1:5">
      <c r="A21" s="2">
        <v>45406</v>
      </c>
      <c r="B21">
        <v>18586.19921875</v>
      </c>
      <c r="C21">
        <v>1563.37976074218</v>
      </c>
      <c r="D21">
        <f t="shared" si="0"/>
        <v>6.6318715726761896E-3</v>
      </c>
      <c r="E21">
        <f t="shared" si="1"/>
        <v>-3.1621819903778105E-5</v>
      </c>
    </row>
    <row r="22" spans="1:5">
      <c r="A22" s="2">
        <v>45407</v>
      </c>
      <c r="B22">
        <v>18878.150390625</v>
      </c>
      <c r="C22">
        <v>1577.62829589843</v>
      </c>
      <c r="D22">
        <f t="shared" si="0"/>
        <v>1.5707954511779677E-2</v>
      </c>
      <c r="E22">
        <f t="shared" si="1"/>
        <v>9.1139309296711258E-3</v>
      </c>
    </row>
    <row r="23" spans="1:5">
      <c r="A23" s="2">
        <v>45408</v>
      </c>
      <c r="B23">
        <v>18994.650390625</v>
      </c>
      <c r="C23">
        <v>1598.95141601562</v>
      </c>
      <c r="D23">
        <f t="shared" si="0"/>
        <v>6.1711554145608772E-3</v>
      </c>
      <c r="E23">
        <f t="shared" si="1"/>
        <v>1.3515934122522113E-2</v>
      </c>
    </row>
    <row r="24" spans="1:5">
      <c r="A24" s="2">
        <v>45411</v>
      </c>
      <c r="B24">
        <v>19096.900390625</v>
      </c>
      <c r="C24">
        <v>1620.22534179687</v>
      </c>
      <c r="D24">
        <f t="shared" si="0"/>
        <v>5.3830946028080888E-3</v>
      </c>
      <c r="E24">
        <f t="shared" si="1"/>
        <v>1.3304923194140488E-2</v>
      </c>
    </row>
    <row r="25" spans="1:5">
      <c r="A25" s="2">
        <v>45412</v>
      </c>
      <c r="B25">
        <v>18970.599609375</v>
      </c>
      <c r="C25">
        <v>1628.58642578125</v>
      </c>
      <c r="D25">
        <f t="shared" si="0"/>
        <v>-6.6136796373511613E-3</v>
      </c>
      <c r="E25">
        <f t="shared" si="1"/>
        <v>5.1604451360496269E-3</v>
      </c>
    </row>
    <row r="26" spans="1:5">
      <c r="A26" s="2">
        <v>45414</v>
      </c>
      <c r="B26">
        <v>19124.44921875</v>
      </c>
      <c r="C26">
        <v>1630.31811523437</v>
      </c>
      <c r="D26">
        <f t="shared" si="0"/>
        <v>8.1098970271329604E-3</v>
      </c>
      <c r="E26">
        <f t="shared" si="1"/>
        <v>1.0633082934418344E-3</v>
      </c>
    </row>
    <row r="27" spans="1:5">
      <c r="A27" s="2">
        <v>45415</v>
      </c>
      <c r="B27">
        <v>19133.400390625</v>
      </c>
      <c r="C27">
        <v>1637.34338378906</v>
      </c>
      <c r="D27">
        <f t="shared" si="0"/>
        <v>4.6804861006005281E-4</v>
      </c>
      <c r="E27">
        <f t="shared" si="1"/>
        <v>4.3091397249671532E-3</v>
      </c>
    </row>
    <row r="28" spans="1:5">
      <c r="A28" s="2">
        <v>45418</v>
      </c>
      <c r="B28">
        <v>19203.30078125</v>
      </c>
      <c r="C28">
        <v>1661.98156738281</v>
      </c>
      <c r="D28">
        <f t="shared" si="0"/>
        <v>3.6533177165544422E-3</v>
      </c>
      <c r="E28">
        <f t="shared" si="1"/>
        <v>1.5047658199059942E-2</v>
      </c>
    </row>
    <row r="29" spans="1:5">
      <c r="A29" s="2">
        <v>45419</v>
      </c>
      <c r="B29">
        <v>18846.30078125</v>
      </c>
      <c r="C29">
        <v>1593.65783691406</v>
      </c>
      <c r="D29">
        <f t="shared" si="0"/>
        <v>-1.8590553992081031E-2</v>
      </c>
      <c r="E29">
        <f t="shared" si="1"/>
        <v>-4.1109800379039198E-2</v>
      </c>
    </row>
    <row r="30" spans="1:5">
      <c r="A30" s="2">
        <v>45420</v>
      </c>
      <c r="B30">
        <v>18850.849609375</v>
      </c>
      <c r="C30">
        <v>1599.1494140625</v>
      </c>
      <c r="D30">
        <f t="shared" si="0"/>
        <v>2.4136450849418601E-4</v>
      </c>
      <c r="E30">
        <f t="shared" si="1"/>
        <v>3.4458947342635516E-3</v>
      </c>
    </row>
    <row r="31" spans="1:5">
      <c r="A31" s="2">
        <v>45421</v>
      </c>
      <c r="B31">
        <v>18437.05078125</v>
      </c>
      <c r="C31">
        <v>1567.28820800781</v>
      </c>
      <c r="D31">
        <f t="shared" si="0"/>
        <v>-2.1951203086316463E-2</v>
      </c>
      <c r="E31">
        <f t="shared" si="1"/>
        <v>-1.9923845623498918E-2</v>
      </c>
    </row>
    <row r="32" spans="1:5">
      <c r="A32" s="2">
        <v>45422</v>
      </c>
      <c r="B32">
        <v>18609.44921875</v>
      </c>
      <c r="C32">
        <v>1591.62939453125</v>
      </c>
      <c r="D32">
        <f t="shared" si="0"/>
        <v>9.3506515518916242E-3</v>
      </c>
      <c r="E32">
        <f t="shared" si="1"/>
        <v>1.5530766070383594E-2</v>
      </c>
    </row>
    <row r="33" spans="1:5">
      <c r="A33" s="2">
        <v>45425</v>
      </c>
      <c r="B33">
        <v>18939</v>
      </c>
      <c r="C33">
        <v>1670.83740234375</v>
      </c>
      <c r="D33">
        <f t="shared" si="0"/>
        <v>1.7708787475448774E-2</v>
      </c>
      <c r="E33">
        <f t="shared" si="1"/>
        <v>4.9765358747868256E-2</v>
      </c>
    </row>
    <row r="34" spans="1:5">
      <c r="A34" s="2">
        <v>45426</v>
      </c>
      <c r="B34">
        <v>18860.849609375</v>
      </c>
      <c r="C34">
        <v>1619.92858886718</v>
      </c>
      <c r="D34">
        <f t="shared" si="0"/>
        <v>-4.1264264546702571E-3</v>
      </c>
      <c r="E34">
        <f t="shared" si="1"/>
        <v>-3.0469041095894902E-2</v>
      </c>
    </row>
    <row r="35" spans="1:5">
      <c r="A35" s="2">
        <v>45427</v>
      </c>
      <c r="B35">
        <v>18886.55078125</v>
      </c>
      <c r="C35">
        <v>1621.85803222656</v>
      </c>
      <c r="D35">
        <f t="shared" si="0"/>
        <v>1.3626730718548829E-3</v>
      </c>
      <c r="E35">
        <f t="shared" si="1"/>
        <v>1.1910669227272954E-3</v>
      </c>
    </row>
    <row r="36" spans="1:5">
      <c r="A36" s="2">
        <v>45428</v>
      </c>
      <c r="B36">
        <v>18996.150390625</v>
      </c>
      <c r="C36">
        <v>1645.45715332031</v>
      </c>
      <c r="D36">
        <f t="shared" si="0"/>
        <v>5.8030505752171115E-3</v>
      </c>
      <c r="E36">
        <f t="shared" si="1"/>
        <v>1.4550670049308854E-2</v>
      </c>
    </row>
    <row r="37" spans="1:5">
      <c r="A37" s="2">
        <v>45429</v>
      </c>
      <c r="B37">
        <v>18981.599609375</v>
      </c>
      <c r="C37">
        <v>1634.37487792968</v>
      </c>
      <c r="D37">
        <f t="shared" si="0"/>
        <v>-7.6598578926713055E-4</v>
      </c>
      <c r="E37">
        <f t="shared" si="1"/>
        <v>-6.7350738171865912E-3</v>
      </c>
    </row>
    <row r="38" spans="1:5">
      <c r="A38" s="2">
        <v>45433</v>
      </c>
      <c r="B38">
        <v>19205.19921875</v>
      </c>
      <c r="C38">
        <v>1666.13720703125</v>
      </c>
      <c r="D38">
        <f t="shared" si="0"/>
        <v>1.17798085502006E-2</v>
      </c>
      <c r="E38">
        <f t="shared" si="1"/>
        <v>1.9433931303327705E-2</v>
      </c>
    </row>
    <row r="39" spans="1:5">
      <c r="A39" s="2">
        <v>45434</v>
      </c>
      <c r="B39">
        <v>19317.400390625</v>
      </c>
      <c r="C39">
        <v>1697.75122070312</v>
      </c>
      <c r="D39">
        <f t="shared" si="0"/>
        <v>5.842229002522307E-3</v>
      </c>
      <c r="E39">
        <f t="shared" si="1"/>
        <v>1.897443592187726E-2</v>
      </c>
    </row>
    <row r="40" spans="1:5">
      <c r="A40" s="2">
        <v>45435</v>
      </c>
      <c r="B40">
        <v>19216.349609375</v>
      </c>
      <c r="C40">
        <v>1615.47583007812</v>
      </c>
      <c r="D40">
        <f t="shared" si="0"/>
        <v>-5.2310755695182121E-3</v>
      </c>
      <c r="E40">
        <f t="shared" si="1"/>
        <v>-4.8461393884862487E-2</v>
      </c>
    </row>
    <row r="41" spans="1:5">
      <c r="A41" s="2">
        <v>45436</v>
      </c>
      <c r="B41">
        <v>19119.5</v>
      </c>
      <c r="C41">
        <v>1597.36840820312</v>
      </c>
      <c r="D41">
        <f t="shared" si="0"/>
        <v>-5.0399587509456214E-3</v>
      </c>
      <c r="E41">
        <f t="shared" si="1"/>
        <v>-1.1208723484352208E-2</v>
      </c>
    </row>
    <row r="42" spans="1:5">
      <c r="A42" s="2">
        <v>45439</v>
      </c>
      <c r="B42">
        <v>19111.94921875</v>
      </c>
      <c r="C42">
        <v>1599.09997558593</v>
      </c>
      <c r="D42">
        <f t="shared" si="0"/>
        <v>-3.9492566489709459E-4</v>
      </c>
      <c r="E42">
        <f t="shared" si="1"/>
        <v>1.0840125383209747E-3</v>
      </c>
    </row>
    <row r="43" spans="1:5">
      <c r="A43" s="2">
        <v>45440</v>
      </c>
      <c r="B43">
        <v>19215.75</v>
      </c>
      <c r="C43">
        <v>1586.5830078125</v>
      </c>
      <c r="D43">
        <f t="shared" si="0"/>
        <v>5.4311980458887485E-3</v>
      </c>
      <c r="E43">
        <f t="shared" si="1"/>
        <v>-7.8275079510545451E-3</v>
      </c>
    </row>
    <row r="44" spans="1:5">
      <c r="A44" s="2">
        <v>45441</v>
      </c>
      <c r="B44">
        <v>19321.349609375</v>
      </c>
      <c r="C44">
        <v>1584.60400390625</v>
      </c>
      <c r="D44">
        <f t="shared" si="0"/>
        <v>5.4954716508593213E-3</v>
      </c>
      <c r="E44">
        <f t="shared" si="1"/>
        <v>-1.2473371367934603E-3</v>
      </c>
    </row>
    <row r="45" spans="1:5">
      <c r="A45" s="2">
        <v>45442</v>
      </c>
      <c r="B45">
        <v>18971</v>
      </c>
      <c r="C45">
        <v>1562.78601074218</v>
      </c>
      <c r="D45">
        <f t="shared" si="0"/>
        <v>-1.8132771077492706E-2</v>
      </c>
      <c r="E45">
        <f t="shared" si="1"/>
        <v>-1.3768735349832438E-2</v>
      </c>
    </row>
    <row r="46" spans="1:5">
      <c r="A46" s="2">
        <v>45443</v>
      </c>
      <c r="B46">
        <v>18796.30078125</v>
      </c>
      <c r="C46">
        <v>1565.90295410156</v>
      </c>
      <c r="D46">
        <f t="shared" si="0"/>
        <v>-9.2087511860207694E-3</v>
      </c>
      <c r="E46">
        <f t="shared" si="1"/>
        <v>1.9944786669159778E-3</v>
      </c>
    </row>
    <row r="47" spans="1:5">
      <c r="A47" s="2">
        <v>45446</v>
      </c>
      <c r="B47">
        <v>18864.150390625</v>
      </c>
      <c r="C47">
        <v>1567.28820800781</v>
      </c>
      <c r="D47">
        <f t="shared" si="0"/>
        <v>3.6097320512492796E-3</v>
      </c>
      <c r="E47">
        <f t="shared" si="1"/>
        <v>8.8463585985428591E-4</v>
      </c>
    </row>
    <row r="48" spans="1:5">
      <c r="A48" s="2">
        <v>45447</v>
      </c>
      <c r="B48">
        <v>18603.150390625</v>
      </c>
      <c r="C48">
        <v>1548.29016113281</v>
      </c>
      <c r="D48">
        <f t="shared" si="0"/>
        <v>-1.3835767558856524E-2</v>
      </c>
      <c r="E48">
        <f t="shared" si="1"/>
        <v>-1.2121603913008788E-2</v>
      </c>
    </row>
    <row r="49" spans="1:5">
      <c r="A49" s="2">
        <v>45448</v>
      </c>
      <c r="B49">
        <v>19281.25</v>
      </c>
      <c r="C49">
        <v>1613.34851074218</v>
      </c>
      <c r="D49">
        <f t="shared" si="0"/>
        <v>3.6450794362052043E-2</v>
      </c>
      <c r="E49">
        <f t="shared" si="1"/>
        <v>4.2019481388275381E-2</v>
      </c>
    </row>
    <row r="50" spans="1:5">
      <c r="A50" s="2">
        <v>45449</v>
      </c>
      <c r="B50">
        <v>19232.099609375</v>
      </c>
      <c r="C50">
        <v>1590.34301757812</v>
      </c>
      <c r="D50">
        <f t="shared" si="0"/>
        <v>-2.5491288492706645E-3</v>
      </c>
      <c r="E50">
        <f t="shared" si="1"/>
        <v>-1.4259469055124926E-2</v>
      </c>
    </row>
    <row r="51" spans="1:5">
      <c r="A51" s="2">
        <v>45450</v>
      </c>
      <c r="B51">
        <v>19578</v>
      </c>
      <c r="C51">
        <v>1612.40856933593</v>
      </c>
      <c r="D51">
        <f t="shared" si="0"/>
        <v>1.7985576075967558E-2</v>
      </c>
      <c r="E51">
        <f t="shared" si="1"/>
        <v>1.3874712256361452E-2</v>
      </c>
    </row>
    <row r="52" spans="1:5">
      <c r="A52" s="2">
        <v>45453</v>
      </c>
      <c r="B52">
        <v>19774.69921875</v>
      </c>
      <c r="C52">
        <v>1616.96020507812</v>
      </c>
      <c r="D52">
        <f t="shared" si="0"/>
        <v>1.0046951616610482E-2</v>
      </c>
      <c r="E52">
        <f t="shared" si="1"/>
        <v>2.8228799007590185E-3</v>
      </c>
    </row>
    <row r="53" spans="1:5">
      <c r="A53" s="2">
        <v>45454</v>
      </c>
      <c r="B53">
        <v>19689.69921875</v>
      </c>
      <c r="C53">
        <v>1597.07153320312</v>
      </c>
      <c r="D53">
        <f t="shared" si="0"/>
        <v>-4.2984218905036285E-3</v>
      </c>
      <c r="E53">
        <f t="shared" si="1"/>
        <v>-1.230003794313486E-2</v>
      </c>
    </row>
    <row r="54" spans="1:5">
      <c r="A54" s="2">
        <v>45455</v>
      </c>
      <c r="B54">
        <v>19739.099609375</v>
      </c>
      <c r="C54">
        <v>1588.66101074218</v>
      </c>
      <c r="D54">
        <f t="shared" si="0"/>
        <v>2.5089459252865204E-3</v>
      </c>
      <c r="E54">
        <f t="shared" si="1"/>
        <v>-5.2662152484001029E-3</v>
      </c>
    </row>
    <row r="55" spans="1:5">
      <c r="A55" s="2">
        <v>45456</v>
      </c>
      <c r="B55">
        <v>19838.5</v>
      </c>
      <c r="C55">
        <v>1588.56201171875</v>
      </c>
      <c r="D55">
        <f t="shared" si="0"/>
        <v>5.0357104727203573E-3</v>
      </c>
      <c r="E55">
        <f t="shared" si="1"/>
        <v>-6.2316015034413768E-5</v>
      </c>
    </row>
    <row r="56" spans="1:5">
      <c r="A56" s="2">
        <v>45457</v>
      </c>
      <c r="B56">
        <v>19895.650390625</v>
      </c>
      <c r="C56">
        <v>1587.22619628906</v>
      </c>
      <c r="D56">
        <f t="shared" si="0"/>
        <v>2.8807818446455126E-3</v>
      </c>
      <c r="E56">
        <f t="shared" si="1"/>
        <v>-8.4089599262461979E-4</v>
      </c>
    </row>
    <row r="57" spans="1:5">
      <c r="A57" s="2">
        <v>45461</v>
      </c>
      <c r="B57">
        <v>19826.650390625</v>
      </c>
      <c r="C57">
        <v>1564.814453125</v>
      </c>
      <c r="D57">
        <f t="shared" si="0"/>
        <v>-3.4680947164468364E-3</v>
      </c>
      <c r="E57">
        <f t="shared" si="1"/>
        <v>-1.4120068844918718E-2</v>
      </c>
    </row>
    <row r="58" spans="1:5">
      <c r="A58" s="2">
        <v>45462</v>
      </c>
      <c r="B58">
        <v>19644.5</v>
      </c>
      <c r="C58">
        <v>1555.7607421875</v>
      </c>
      <c r="D58">
        <f t="shared" si="0"/>
        <v>-9.1871489654717226E-3</v>
      </c>
      <c r="E58">
        <f t="shared" si="1"/>
        <v>-5.7858047766745505E-3</v>
      </c>
    </row>
    <row r="59" spans="1:5">
      <c r="A59" s="2">
        <v>45463</v>
      </c>
      <c r="B59">
        <v>19544.55078125</v>
      </c>
      <c r="C59">
        <v>1539.33532714843</v>
      </c>
      <c r="D59">
        <f t="shared" si="0"/>
        <v>-5.0878983303214642E-3</v>
      </c>
      <c r="E59">
        <f t="shared" si="1"/>
        <v>-1.0557802747982193E-2</v>
      </c>
    </row>
    <row r="60" spans="1:5">
      <c r="A60" s="2">
        <v>45464</v>
      </c>
      <c r="B60">
        <v>19528.400390625</v>
      </c>
      <c r="C60">
        <v>1544.57958984375</v>
      </c>
      <c r="D60">
        <f t="shared" si="0"/>
        <v>-8.2633726432299601E-4</v>
      </c>
      <c r="E60">
        <f t="shared" si="1"/>
        <v>3.4068357964829109E-3</v>
      </c>
    </row>
    <row r="61" spans="1:5">
      <c r="A61" s="2">
        <v>45467</v>
      </c>
      <c r="B61">
        <v>19521.150390625</v>
      </c>
      <c r="C61">
        <v>1550.26916503906</v>
      </c>
      <c r="D61">
        <f t="shared" si="0"/>
        <v>-3.7125416598281691E-4</v>
      </c>
      <c r="E61">
        <f t="shared" si="1"/>
        <v>3.6835752801094293E-3</v>
      </c>
    </row>
    <row r="62" spans="1:5">
      <c r="A62" s="2">
        <v>45468</v>
      </c>
      <c r="B62">
        <v>19532.30078125</v>
      </c>
      <c r="C62">
        <v>1542.4521484375</v>
      </c>
      <c r="D62">
        <f t="shared" si="0"/>
        <v>5.7119536512330522E-4</v>
      </c>
      <c r="E62">
        <f t="shared" si="1"/>
        <v>-5.0423608866419301E-3</v>
      </c>
    </row>
    <row r="63" spans="1:5">
      <c r="A63" s="2">
        <v>45469</v>
      </c>
      <c r="B63">
        <v>19545.349609375</v>
      </c>
      <c r="C63">
        <v>1566.99133300781</v>
      </c>
      <c r="D63">
        <f t="shared" si="0"/>
        <v>6.6806405815367134E-4</v>
      </c>
      <c r="E63">
        <f t="shared" si="1"/>
        <v>1.5909203144595527E-2</v>
      </c>
    </row>
    <row r="64" spans="1:5">
      <c r="A64" s="2">
        <v>45470</v>
      </c>
      <c r="B64">
        <v>19514.80078125</v>
      </c>
      <c r="C64">
        <v>1566.74389648437</v>
      </c>
      <c r="D64">
        <f t="shared" si="0"/>
        <v>-1.5629716907364574E-3</v>
      </c>
      <c r="E64">
        <f t="shared" si="1"/>
        <v>-1.5790548309227174E-4</v>
      </c>
    </row>
    <row r="65" spans="1:5">
      <c r="A65" s="2">
        <v>45471</v>
      </c>
      <c r="B65">
        <v>19731.55078125</v>
      </c>
      <c r="C65">
        <v>1604.29467773437</v>
      </c>
      <c r="D65">
        <f t="shared" si="0"/>
        <v>1.1106954276891998E-2</v>
      </c>
      <c r="E65">
        <f t="shared" si="1"/>
        <v>2.3967402288440708E-2</v>
      </c>
    </row>
    <row r="66" spans="1:5">
      <c r="A66" s="2">
        <v>45474</v>
      </c>
      <c r="B66">
        <v>19758.25</v>
      </c>
      <c r="C66">
        <v>1599.05053710937</v>
      </c>
      <c r="D66">
        <f t="shared" si="0"/>
        <v>1.353123180534348E-3</v>
      </c>
      <c r="E66">
        <f t="shared" si="1"/>
        <v>-3.2688138268998825E-3</v>
      </c>
    </row>
    <row r="67" spans="1:5">
      <c r="A67" s="2">
        <v>45475</v>
      </c>
      <c r="B67">
        <v>19786.400390625</v>
      </c>
      <c r="C67">
        <v>1615.62438964843</v>
      </c>
      <c r="D67">
        <f t="shared" si="0"/>
        <v>1.4247410891652854E-3</v>
      </c>
      <c r="E67">
        <f t="shared" si="1"/>
        <v>1.0364808462539793E-2</v>
      </c>
    </row>
    <row r="68" spans="1:5">
      <c r="A68" s="2">
        <v>45476</v>
      </c>
      <c r="B68">
        <v>19915.30078125</v>
      </c>
      <c r="C68">
        <v>1613.44750976562</v>
      </c>
      <c r="D68">
        <f t="shared" si="0"/>
        <v>6.514595281619507E-3</v>
      </c>
      <c r="E68">
        <f t="shared" si="1"/>
        <v>-1.3473923126919999E-3</v>
      </c>
    </row>
    <row r="69" spans="1:5">
      <c r="A69" s="2">
        <v>45477</v>
      </c>
      <c r="B69">
        <v>20192.599609375</v>
      </c>
      <c r="C69">
        <v>1740.79357910156</v>
      </c>
      <c r="D69">
        <f t="shared" si="0"/>
        <v>1.3923908615333255E-2</v>
      </c>
      <c r="E69">
        <f t="shared" si="1"/>
        <v>7.8927928281000675E-2</v>
      </c>
    </row>
    <row r="70" spans="1:5">
      <c r="A70" s="2">
        <v>45478</v>
      </c>
      <c r="B70">
        <v>20453.849609375</v>
      </c>
      <c r="C70">
        <v>1751.57897949218</v>
      </c>
      <c r="D70">
        <f t="shared" si="0"/>
        <v>1.2937908196758732E-2</v>
      </c>
      <c r="E70">
        <f t="shared" si="1"/>
        <v>6.195680246124555E-3</v>
      </c>
    </row>
    <row r="71" spans="1:5">
      <c r="A71" s="2">
        <v>45481</v>
      </c>
      <c r="B71">
        <v>20325.80078125</v>
      </c>
      <c r="C71">
        <v>1760.1875</v>
      </c>
      <c r="D71">
        <f t="shared" si="0"/>
        <v>-6.2603779029600844E-3</v>
      </c>
      <c r="E71">
        <f t="shared" si="1"/>
        <v>4.9147201517089432E-3</v>
      </c>
    </row>
    <row r="72" spans="1:5">
      <c r="A72" s="2">
        <v>45482</v>
      </c>
      <c r="B72">
        <v>20645.80078125</v>
      </c>
      <c r="C72">
        <v>1795.66040039062</v>
      </c>
      <c r="D72">
        <f t="shared" ref="D72:D135" si="2">(B72-B71)/B71</f>
        <v>1.5743537164606636E-2</v>
      </c>
      <c r="E72">
        <f t="shared" ref="E72:E135" si="3">(C72-C71)/C71</f>
        <v>2.0152910068171714E-2</v>
      </c>
    </row>
    <row r="73" spans="1:5">
      <c r="A73" s="2">
        <v>45483</v>
      </c>
      <c r="B73">
        <v>20725.94921875</v>
      </c>
      <c r="C73">
        <v>1807.68249511718</v>
      </c>
      <c r="D73">
        <f t="shared" si="2"/>
        <v>3.8820696929706311E-3</v>
      </c>
      <c r="E73">
        <f t="shared" si="3"/>
        <v>6.6950826135859353E-3</v>
      </c>
    </row>
    <row r="74" spans="1:5">
      <c r="A74" s="2">
        <v>45484</v>
      </c>
      <c r="B74">
        <v>20601.69921875</v>
      </c>
      <c r="C74">
        <v>1798.18347167968</v>
      </c>
      <c r="D74">
        <f t="shared" si="2"/>
        <v>-5.9949003391167061E-3</v>
      </c>
      <c r="E74">
        <f t="shared" si="3"/>
        <v>-5.2548074471917934E-3</v>
      </c>
    </row>
    <row r="75" spans="1:5">
      <c r="A75" s="2">
        <v>45485</v>
      </c>
      <c r="B75">
        <v>20612.650390625</v>
      </c>
      <c r="C75">
        <v>1778.83923339843</v>
      </c>
      <c r="D75">
        <f t="shared" si="2"/>
        <v>5.3156643822045171E-4</v>
      </c>
      <c r="E75">
        <f t="shared" si="3"/>
        <v>-1.0757655481718215E-2</v>
      </c>
    </row>
    <row r="76" spans="1:5">
      <c r="A76" s="2">
        <v>45488</v>
      </c>
      <c r="B76">
        <v>20844.55078125</v>
      </c>
      <c r="C76">
        <v>1813.47094726562</v>
      </c>
      <c r="D76">
        <f t="shared" si="2"/>
        <v>1.125039168812917E-2</v>
      </c>
      <c r="E76">
        <f t="shared" si="3"/>
        <v>1.9468714888319017E-2</v>
      </c>
    </row>
    <row r="77" spans="1:5">
      <c r="A77" s="2">
        <v>45489</v>
      </c>
      <c r="B77">
        <v>20765.44921875</v>
      </c>
      <c r="C77">
        <v>1833.64562988281</v>
      </c>
      <c r="D77">
        <f t="shared" si="2"/>
        <v>-3.7948317202956034E-3</v>
      </c>
      <c r="E77">
        <f t="shared" si="3"/>
        <v>1.1124899821312111E-2</v>
      </c>
    </row>
    <row r="78" spans="1:5">
      <c r="A78" s="2">
        <v>45491</v>
      </c>
      <c r="B78">
        <v>20768.349609375</v>
      </c>
      <c r="C78">
        <v>1806.01733398437</v>
      </c>
      <c r="D78">
        <f t="shared" si="2"/>
        <v>1.3967386857112221E-4</v>
      </c>
      <c r="E78">
        <f t="shared" si="3"/>
        <v>-1.5067412944018933E-2</v>
      </c>
    </row>
    <row r="79" spans="1:5">
      <c r="A79" s="2">
        <v>45492</v>
      </c>
      <c r="B79">
        <v>20425.400390625</v>
      </c>
      <c r="C79">
        <v>1775.60656738281</v>
      </c>
      <c r="D79">
        <f t="shared" si="2"/>
        <v>-1.6513070378745453E-2</v>
      </c>
      <c r="E79">
        <f t="shared" si="3"/>
        <v>-1.6838579580224111E-2</v>
      </c>
    </row>
    <row r="80" spans="1:5">
      <c r="A80" s="2">
        <v>45495</v>
      </c>
      <c r="B80">
        <v>20641.55078125</v>
      </c>
      <c r="C80">
        <v>1794.14123535156</v>
      </c>
      <c r="D80">
        <f t="shared" si="2"/>
        <v>1.0582431016833838E-2</v>
      </c>
      <c r="E80">
        <f t="shared" si="3"/>
        <v>1.0438499332692567E-2</v>
      </c>
    </row>
    <row r="81" spans="1:5">
      <c r="A81" s="2">
        <v>45496</v>
      </c>
      <c r="B81">
        <v>20755.349609375</v>
      </c>
      <c r="C81">
        <v>1788.8740234375</v>
      </c>
      <c r="D81">
        <f t="shared" si="2"/>
        <v>5.5130948895744077E-3</v>
      </c>
      <c r="E81">
        <f t="shared" si="3"/>
        <v>-2.9357844356260473E-3</v>
      </c>
    </row>
    <row r="82" spans="1:5">
      <c r="A82" s="2">
        <v>45497</v>
      </c>
      <c r="B82">
        <v>20908.5</v>
      </c>
      <c r="C82">
        <v>1804.42724609375</v>
      </c>
      <c r="D82">
        <f t="shared" si="2"/>
        <v>7.3788393598450096E-3</v>
      </c>
      <c r="E82">
        <f t="shared" si="3"/>
        <v>8.6944203182977246E-3</v>
      </c>
    </row>
    <row r="83" spans="1:5">
      <c r="A83" s="2">
        <v>45498</v>
      </c>
      <c r="B83">
        <v>21105.5</v>
      </c>
      <c r="C83">
        <v>1789.22180175781</v>
      </c>
      <c r="D83">
        <f t="shared" si="2"/>
        <v>9.4220054045005622E-3</v>
      </c>
      <c r="E83">
        <f t="shared" si="3"/>
        <v>-8.4267428176209181E-3</v>
      </c>
    </row>
    <row r="84" spans="1:5">
      <c r="A84" s="2">
        <v>45499</v>
      </c>
      <c r="B84">
        <v>21603.099609375</v>
      </c>
      <c r="C84">
        <v>1829.32238769531</v>
      </c>
      <c r="D84">
        <f t="shared" si="2"/>
        <v>2.3576774270924642E-2</v>
      </c>
      <c r="E84">
        <f t="shared" si="3"/>
        <v>2.2412305672836887E-2</v>
      </c>
    </row>
    <row r="85" spans="1:5">
      <c r="A85" s="2">
        <v>45502</v>
      </c>
      <c r="B85">
        <v>21674.94921875</v>
      </c>
      <c r="C85">
        <v>1849.64599609375</v>
      </c>
      <c r="D85">
        <f t="shared" si="2"/>
        <v>3.3258935372320253E-3</v>
      </c>
      <c r="E85">
        <f t="shared" si="3"/>
        <v>1.1109910716199621E-2</v>
      </c>
    </row>
    <row r="86" spans="1:5">
      <c r="A86" s="2">
        <v>45503</v>
      </c>
      <c r="B86">
        <v>21540.80078125</v>
      </c>
      <c r="C86">
        <v>1850.98767089843</v>
      </c>
      <c r="D86">
        <f t="shared" si="2"/>
        <v>-6.1891004286162002E-3</v>
      </c>
      <c r="E86">
        <f t="shared" si="3"/>
        <v>7.2536842591148099E-4</v>
      </c>
    </row>
    <row r="87" spans="1:5">
      <c r="A87" s="2">
        <v>45504</v>
      </c>
      <c r="B87">
        <v>21777.150390625</v>
      </c>
      <c r="C87">
        <v>1900.03259277343</v>
      </c>
      <c r="D87">
        <f t="shared" si="2"/>
        <v>1.0972183057406503E-2</v>
      </c>
      <c r="E87">
        <f t="shared" si="3"/>
        <v>2.6496622665884446E-2</v>
      </c>
    </row>
    <row r="88" spans="1:5">
      <c r="A88" s="2">
        <v>45505</v>
      </c>
      <c r="B88">
        <v>21790.349609375</v>
      </c>
      <c r="C88">
        <v>1941.27612304687</v>
      </c>
      <c r="D88">
        <f t="shared" si="2"/>
        <v>6.061040362600529E-4</v>
      </c>
      <c r="E88">
        <f t="shared" si="3"/>
        <v>2.1706748836996449E-2</v>
      </c>
    </row>
    <row r="89" spans="1:5">
      <c r="A89" s="2">
        <v>45506</v>
      </c>
      <c r="B89">
        <v>21902.849609375</v>
      </c>
      <c r="C89">
        <v>1949.37573242187</v>
      </c>
      <c r="D89">
        <f t="shared" si="2"/>
        <v>5.1628359350231997E-3</v>
      </c>
      <c r="E89">
        <f t="shared" si="3"/>
        <v>4.172311851385422E-3</v>
      </c>
    </row>
    <row r="90" spans="1:5">
      <c r="A90" s="2">
        <v>45509</v>
      </c>
      <c r="B90">
        <v>21583.05078125</v>
      </c>
      <c r="C90">
        <v>1936.20764160156</v>
      </c>
      <c r="D90">
        <f t="shared" si="2"/>
        <v>-1.4600786373847796E-2</v>
      </c>
      <c r="E90">
        <f t="shared" si="3"/>
        <v>-6.7550296237402089E-3</v>
      </c>
    </row>
    <row r="91" spans="1:5">
      <c r="A91" s="2">
        <v>45510</v>
      </c>
      <c r="B91">
        <v>21562.55078125</v>
      </c>
      <c r="C91">
        <v>1898.939453125</v>
      </c>
      <c r="D91">
        <f t="shared" si="2"/>
        <v>-9.4981938409787337E-4</v>
      </c>
      <c r="E91">
        <f t="shared" si="3"/>
        <v>-1.9248032946369904E-2</v>
      </c>
    </row>
    <row r="92" spans="1:5">
      <c r="A92" s="2">
        <v>45511</v>
      </c>
      <c r="B92">
        <v>22036.94921875</v>
      </c>
      <c r="C92">
        <v>1982.1220703125</v>
      </c>
      <c r="D92">
        <f t="shared" si="2"/>
        <v>2.2001035142489699E-2</v>
      </c>
      <c r="E92">
        <f t="shared" si="3"/>
        <v>4.3804775897730741E-2</v>
      </c>
    </row>
    <row r="93" spans="1:5">
      <c r="A93" s="2">
        <v>45512</v>
      </c>
      <c r="B93">
        <v>22114.25</v>
      </c>
      <c r="C93">
        <v>2038.12377929687</v>
      </c>
      <c r="D93">
        <f t="shared" si="2"/>
        <v>3.5077805227335694E-3</v>
      </c>
      <c r="E93">
        <f t="shared" si="3"/>
        <v>2.825341073748339E-2</v>
      </c>
    </row>
    <row r="94" spans="1:5">
      <c r="A94" s="2">
        <v>45513</v>
      </c>
      <c r="B94">
        <v>22209.55078125</v>
      </c>
      <c r="C94">
        <v>2100.48583984375</v>
      </c>
      <c r="D94">
        <f t="shared" si="2"/>
        <v>4.3094738121347096E-3</v>
      </c>
      <c r="E94">
        <f t="shared" si="3"/>
        <v>3.0597778790645493E-2</v>
      </c>
    </row>
    <row r="95" spans="1:5">
      <c r="A95" s="2">
        <v>45516</v>
      </c>
      <c r="B95">
        <v>22205.599609375</v>
      </c>
      <c r="C95">
        <v>2084.63452148437</v>
      </c>
      <c r="D95">
        <f t="shared" si="2"/>
        <v>-1.7790417797804823E-4</v>
      </c>
      <c r="E95">
        <f t="shared" si="3"/>
        <v>-7.5465009374017693E-3</v>
      </c>
    </row>
    <row r="96" spans="1:5">
      <c r="A96" s="2">
        <v>45517</v>
      </c>
      <c r="B96">
        <v>22191.599609375</v>
      </c>
      <c r="C96">
        <v>2084.68408203125</v>
      </c>
      <c r="D96">
        <f t="shared" si="2"/>
        <v>-6.304716038421826E-4</v>
      </c>
      <c r="E96">
        <f t="shared" si="3"/>
        <v>2.3774213834237233E-5</v>
      </c>
    </row>
    <row r="97" spans="1:5">
      <c r="A97" s="2">
        <v>45518</v>
      </c>
      <c r="B97">
        <v>22012.69921875</v>
      </c>
      <c r="C97">
        <v>2061.13061523437</v>
      </c>
      <c r="D97">
        <f t="shared" si="2"/>
        <v>-8.061626641345054E-3</v>
      </c>
      <c r="E97">
        <f t="shared" si="3"/>
        <v>-1.1298338678698143E-2</v>
      </c>
    </row>
    <row r="98" spans="1:5">
      <c r="A98" s="2">
        <v>45520</v>
      </c>
      <c r="B98">
        <v>22106.5</v>
      </c>
      <c r="C98">
        <v>2073.15600585937</v>
      </c>
      <c r="D98">
        <f t="shared" si="2"/>
        <v>4.2612121447651577E-3</v>
      </c>
      <c r="E98">
        <f t="shared" si="3"/>
        <v>5.834366117371266E-3</v>
      </c>
    </row>
    <row r="99" spans="1:5">
      <c r="A99" s="2">
        <v>45523</v>
      </c>
      <c r="B99">
        <v>22237.849609375</v>
      </c>
      <c r="C99">
        <v>2056.01245117187</v>
      </c>
      <c r="D99">
        <f t="shared" si="2"/>
        <v>5.9416736876031937E-3</v>
      </c>
      <c r="E99">
        <f t="shared" si="3"/>
        <v>-8.2693027630564679E-3</v>
      </c>
    </row>
    <row r="100" spans="1:5">
      <c r="A100" s="2">
        <v>45524</v>
      </c>
      <c r="B100">
        <v>22374.25</v>
      </c>
      <c r="C100">
        <v>2082.29907226562</v>
      </c>
      <c r="D100">
        <f t="shared" si="2"/>
        <v>6.1337041584945571E-3</v>
      </c>
      <c r="E100">
        <f t="shared" si="3"/>
        <v>1.2785244115991299E-2</v>
      </c>
    </row>
    <row r="101" spans="1:5">
      <c r="A101" s="2">
        <v>45525</v>
      </c>
      <c r="B101">
        <v>22577.900390625</v>
      </c>
      <c r="C101">
        <v>2104.41137695312</v>
      </c>
      <c r="D101">
        <f t="shared" si="2"/>
        <v>9.1019985306770058E-3</v>
      </c>
      <c r="E101">
        <f t="shared" si="3"/>
        <v>1.0619178091185998E-2</v>
      </c>
    </row>
    <row r="102" spans="1:5">
      <c r="A102" s="2">
        <v>45526</v>
      </c>
      <c r="B102">
        <v>22546.099609375</v>
      </c>
      <c r="C102">
        <v>2096.16284179687</v>
      </c>
      <c r="D102">
        <f t="shared" si="2"/>
        <v>-1.4084915204606275E-3</v>
      </c>
      <c r="E102">
        <f t="shared" si="3"/>
        <v>-3.9196400697057024E-3</v>
      </c>
    </row>
    <row r="103" spans="1:5">
      <c r="A103" s="2">
        <v>45527</v>
      </c>
      <c r="B103">
        <v>22527.849609375</v>
      </c>
      <c r="C103">
        <v>2080.60961914062</v>
      </c>
      <c r="D103">
        <f t="shared" si="2"/>
        <v>-8.0945264663034584E-4</v>
      </c>
      <c r="E103">
        <f t="shared" si="3"/>
        <v>-7.4198541955440289E-3</v>
      </c>
    </row>
    <row r="104" spans="1:5">
      <c r="A104" s="2">
        <v>45530</v>
      </c>
      <c r="B104">
        <v>22554.94921875</v>
      </c>
      <c r="C104">
        <v>2103.11938476562</v>
      </c>
      <c r="D104">
        <f t="shared" si="2"/>
        <v>1.2029381341272119E-3</v>
      </c>
      <c r="E104">
        <f t="shared" si="3"/>
        <v>1.0818831854818344E-2</v>
      </c>
    </row>
    <row r="105" spans="1:5">
      <c r="A105" s="2">
        <v>45531</v>
      </c>
      <c r="B105">
        <v>22729</v>
      </c>
      <c r="C105">
        <v>2158.12744140625</v>
      </c>
      <c r="D105">
        <f t="shared" si="2"/>
        <v>7.7167445407197392E-3</v>
      </c>
      <c r="E105">
        <f t="shared" si="3"/>
        <v>2.6155460806976644E-2</v>
      </c>
    </row>
    <row r="106" spans="1:5">
      <c r="A106" s="2">
        <v>45532</v>
      </c>
      <c r="B106">
        <v>22989.099609375</v>
      </c>
      <c r="C106">
        <v>2187.14697265625</v>
      </c>
      <c r="D106">
        <f t="shared" si="2"/>
        <v>1.1443513105503981E-2</v>
      </c>
      <c r="E106">
        <f t="shared" si="3"/>
        <v>1.3446625390709403E-2</v>
      </c>
    </row>
    <row r="107" spans="1:5">
      <c r="A107" s="2">
        <v>45533</v>
      </c>
      <c r="B107">
        <v>22878.05078125</v>
      </c>
      <c r="C107">
        <v>2180.19018554687</v>
      </c>
      <c r="D107">
        <f t="shared" si="2"/>
        <v>-4.8304992371129693E-3</v>
      </c>
      <c r="E107">
        <f t="shared" si="3"/>
        <v>-3.1807588590770887E-3</v>
      </c>
    </row>
    <row r="108" spans="1:5">
      <c r="A108" s="2">
        <v>45534</v>
      </c>
      <c r="B108">
        <v>23217.599609375</v>
      </c>
      <c r="C108">
        <v>2226.35302734375</v>
      </c>
      <c r="D108">
        <f t="shared" si="2"/>
        <v>1.4841685219235618E-2</v>
      </c>
      <c r="E108">
        <f t="shared" si="3"/>
        <v>2.1173768280816612E-2</v>
      </c>
    </row>
    <row r="109" spans="1:5">
      <c r="A109" s="2">
        <v>45537</v>
      </c>
      <c r="B109">
        <v>22987.44921875</v>
      </c>
      <c r="C109">
        <v>2218.94921875</v>
      </c>
      <c r="D109">
        <f t="shared" si="2"/>
        <v>-9.9127556033858002E-3</v>
      </c>
      <c r="E109">
        <f t="shared" si="3"/>
        <v>-3.3255321608107427E-3</v>
      </c>
    </row>
    <row r="110" spans="1:5">
      <c r="A110" s="2">
        <v>45538</v>
      </c>
      <c r="B110">
        <v>23014.30078125</v>
      </c>
      <c r="C110">
        <v>2226.40283203125</v>
      </c>
      <c r="D110">
        <f t="shared" si="2"/>
        <v>1.1680966532858369E-3</v>
      </c>
      <c r="E110">
        <f t="shared" si="3"/>
        <v>3.3590733930580177E-3</v>
      </c>
    </row>
    <row r="111" spans="1:5">
      <c r="A111" s="2">
        <v>45539</v>
      </c>
      <c r="B111">
        <v>23184.400390625</v>
      </c>
      <c r="C111">
        <v>2263.17407226562</v>
      </c>
      <c r="D111">
        <f t="shared" si="2"/>
        <v>7.3910396406038975E-3</v>
      </c>
      <c r="E111">
        <f t="shared" si="3"/>
        <v>1.6515987001697218E-2</v>
      </c>
    </row>
    <row r="112" spans="1:5">
      <c r="A112" s="2">
        <v>45540</v>
      </c>
      <c r="B112">
        <v>23156.69921875</v>
      </c>
      <c r="C112">
        <v>2276.0439453125</v>
      </c>
      <c r="D112">
        <f t="shared" si="2"/>
        <v>-1.1948194220369585E-3</v>
      </c>
      <c r="E112">
        <f t="shared" si="3"/>
        <v>5.6866474411295369E-3</v>
      </c>
    </row>
    <row r="113" spans="1:5">
      <c r="A113" s="2">
        <v>45541</v>
      </c>
      <c r="B113">
        <v>23043.400390625</v>
      </c>
      <c r="C113">
        <v>2242.55224609375</v>
      </c>
      <c r="D113">
        <f t="shared" si="2"/>
        <v>-4.8927019803090867E-3</v>
      </c>
      <c r="E113">
        <f t="shared" si="3"/>
        <v>-1.4714873712225974E-2</v>
      </c>
    </row>
    <row r="114" spans="1:5">
      <c r="A114" s="2">
        <v>45544</v>
      </c>
      <c r="B114">
        <v>23009.400390625</v>
      </c>
      <c r="C114">
        <v>2203.09765625</v>
      </c>
      <c r="D114">
        <f t="shared" si="2"/>
        <v>-1.4754766841543314E-3</v>
      </c>
      <c r="E114">
        <f t="shared" si="3"/>
        <v>-1.7593610098705633E-2</v>
      </c>
    </row>
    <row r="115" spans="1:5">
      <c r="A115" s="2">
        <v>45545</v>
      </c>
      <c r="B115">
        <v>23256.849609375</v>
      </c>
      <c r="C115">
        <v>2208.81225585937</v>
      </c>
      <c r="D115">
        <f t="shared" si="2"/>
        <v>1.0754266280264359E-2</v>
      </c>
      <c r="E115">
        <f t="shared" si="3"/>
        <v>2.5938930093081288E-3</v>
      </c>
    </row>
    <row r="116" spans="1:5">
      <c r="A116" s="2">
        <v>45546</v>
      </c>
      <c r="B116">
        <v>23220.400390625</v>
      </c>
      <c r="C116">
        <v>2195.74340820312</v>
      </c>
      <c r="D116">
        <f t="shared" si="2"/>
        <v>-1.5672466117382924E-3</v>
      </c>
      <c r="E116">
        <f t="shared" si="3"/>
        <v>-5.9166855949761912E-3</v>
      </c>
    </row>
    <row r="117" spans="1:5">
      <c r="A117" s="2">
        <v>45547</v>
      </c>
      <c r="B117">
        <v>23429.599609375</v>
      </c>
      <c r="C117">
        <v>2233.60791015625</v>
      </c>
      <c r="D117">
        <f t="shared" si="2"/>
        <v>9.0092855950262615E-3</v>
      </c>
      <c r="E117">
        <f t="shared" si="3"/>
        <v>1.7244502163445547E-2</v>
      </c>
    </row>
    <row r="118" spans="1:5">
      <c r="A118" s="2">
        <v>45548</v>
      </c>
      <c r="B118">
        <v>23457.650390625</v>
      </c>
      <c r="C118">
        <v>2242.50244140625</v>
      </c>
      <c r="D118">
        <f t="shared" si="2"/>
        <v>1.1972369019390286E-3</v>
      </c>
      <c r="E118">
        <f t="shared" si="3"/>
        <v>3.9821363496952301E-3</v>
      </c>
    </row>
    <row r="119" spans="1:5">
      <c r="A119" s="2">
        <v>45551</v>
      </c>
      <c r="B119">
        <v>23448.75</v>
      </c>
      <c r="C119">
        <v>2237.93115234375</v>
      </c>
      <c r="D119">
        <f t="shared" si="2"/>
        <v>-3.7942379039620686E-4</v>
      </c>
      <c r="E119">
        <f t="shared" si="3"/>
        <v>-2.0384767383501228E-3</v>
      </c>
    </row>
    <row r="120" spans="1:5">
      <c r="A120" s="2">
        <v>45552</v>
      </c>
      <c r="B120">
        <v>23383.650390625</v>
      </c>
      <c r="C120">
        <v>2256.3662109375</v>
      </c>
      <c r="D120">
        <f t="shared" si="2"/>
        <v>-2.7762507329815024E-3</v>
      </c>
      <c r="E120">
        <f t="shared" si="3"/>
        <v>8.2375450086760952E-3</v>
      </c>
    </row>
    <row r="121" spans="1:5">
      <c r="A121" s="2">
        <v>45553</v>
      </c>
      <c r="B121">
        <v>23025.19921875</v>
      </c>
      <c r="C121">
        <v>2211.197265625</v>
      </c>
      <c r="D121">
        <f t="shared" si="2"/>
        <v>-1.5329136635514815E-2</v>
      </c>
      <c r="E121">
        <f t="shared" si="3"/>
        <v>-2.0018446072072985E-2</v>
      </c>
    </row>
    <row r="122" spans="1:5">
      <c r="A122" s="2">
        <v>45554</v>
      </c>
      <c r="B122">
        <v>22930.150390625</v>
      </c>
      <c r="C122">
        <v>2158.47509765625</v>
      </c>
      <c r="D122">
        <f t="shared" si="2"/>
        <v>-4.1280349942683378E-3</v>
      </c>
      <c r="E122">
        <f t="shared" si="3"/>
        <v>-2.3843267531288286E-2</v>
      </c>
    </row>
    <row r="123" spans="1:5">
      <c r="A123" s="2">
        <v>45555</v>
      </c>
      <c r="B123">
        <v>23005.25</v>
      </c>
      <c r="C123">
        <v>2138.40014648437</v>
      </c>
      <c r="D123">
        <f t="shared" si="2"/>
        <v>3.2751468305111729E-3</v>
      </c>
      <c r="E123">
        <f t="shared" si="3"/>
        <v>-9.3005247981216496E-3</v>
      </c>
    </row>
    <row r="124" spans="1:5">
      <c r="A124" s="2">
        <v>45558</v>
      </c>
      <c r="B124">
        <v>23134.25</v>
      </c>
      <c r="C124">
        <v>2168.76123046875</v>
      </c>
      <c r="D124">
        <f t="shared" si="2"/>
        <v>5.6074156985905389E-3</v>
      </c>
      <c r="E124">
        <f t="shared" si="3"/>
        <v>1.4198036805363601E-2</v>
      </c>
    </row>
    <row r="125" spans="1:5">
      <c r="A125" s="2">
        <v>45559</v>
      </c>
      <c r="B125">
        <v>23188.400390625</v>
      </c>
      <c r="C125">
        <v>2202.05419921875</v>
      </c>
      <c r="D125">
        <f t="shared" si="2"/>
        <v>2.3407022326204655E-3</v>
      </c>
      <c r="E125">
        <f t="shared" si="3"/>
        <v>1.5351145290809238E-2</v>
      </c>
    </row>
    <row r="126" spans="1:5">
      <c r="A126" s="2">
        <v>45560</v>
      </c>
      <c r="B126">
        <v>23249</v>
      </c>
      <c r="C126">
        <v>2207.37109375</v>
      </c>
      <c r="D126">
        <f t="shared" si="2"/>
        <v>2.6133587636127001E-3</v>
      </c>
      <c r="E126">
        <f t="shared" si="3"/>
        <v>2.4145157431349059E-3</v>
      </c>
    </row>
    <row r="127" spans="1:5">
      <c r="A127" s="2">
        <v>45561</v>
      </c>
      <c r="B127">
        <v>23250.900390625</v>
      </c>
      <c r="C127">
        <v>2174.62475585937</v>
      </c>
      <c r="D127">
        <f t="shared" si="2"/>
        <v>8.1740746913845755E-5</v>
      </c>
      <c r="E127">
        <f t="shared" si="3"/>
        <v>-1.4834994434487575E-2</v>
      </c>
    </row>
    <row r="128" spans="1:5">
      <c r="A128" s="2">
        <v>45562</v>
      </c>
      <c r="B128">
        <v>23519.099609375</v>
      </c>
      <c r="C128">
        <v>2204.787109375</v>
      </c>
      <c r="D128">
        <f t="shared" si="2"/>
        <v>1.1535003558749951E-2</v>
      </c>
      <c r="E128">
        <f t="shared" si="3"/>
        <v>1.3870141703463878E-2</v>
      </c>
    </row>
    <row r="129" spans="1:5">
      <c r="A129" s="2">
        <v>45565</v>
      </c>
      <c r="B129">
        <v>23281.19921875</v>
      </c>
      <c r="C129">
        <v>2177.556640625</v>
      </c>
      <c r="D129">
        <f t="shared" si="2"/>
        <v>-1.0115199755783594E-2</v>
      </c>
      <c r="E129">
        <f t="shared" si="3"/>
        <v>-1.2350611373865993E-2</v>
      </c>
    </row>
    <row r="130" spans="1:5">
      <c r="A130" s="2">
        <v>45566</v>
      </c>
      <c r="B130">
        <v>23296.55078125</v>
      </c>
      <c r="C130">
        <v>2180.8359375</v>
      </c>
      <c r="D130">
        <f t="shared" si="2"/>
        <v>6.5939741143730679E-4</v>
      </c>
      <c r="E130">
        <f t="shared" si="3"/>
        <v>1.5059525037469427E-3</v>
      </c>
    </row>
    <row r="131" spans="1:5">
      <c r="A131" s="2">
        <v>45568</v>
      </c>
      <c r="B131">
        <v>23178.75</v>
      </c>
      <c r="C131">
        <v>2170.10302734375</v>
      </c>
      <c r="D131">
        <f t="shared" si="2"/>
        <v>-5.0565760724034219E-3</v>
      </c>
      <c r="E131">
        <f t="shared" si="3"/>
        <v>-4.9214661092542638E-3</v>
      </c>
    </row>
    <row r="132" spans="1:5">
      <c r="A132" s="2">
        <v>45569</v>
      </c>
      <c r="B132">
        <v>23094.69921875</v>
      </c>
      <c r="C132">
        <v>2184.66235351562</v>
      </c>
      <c r="D132">
        <f t="shared" si="2"/>
        <v>-3.6261999137140702E-3</v>
      </c>
      <c r="E132">
        <f t="shared" si="3"/>
        <v>6.7090483670219601E-3</v>
      </c>
    </row>
    <row r="133" spans="1:5">
      <c r="A133" s="2">
        <v>45572</v>
      </c>
      <c r="B133">
        <v>22977.80078125</v>
      </c>
      <c r="C133">
        <v>2161.45654296875</v>
      </c>
      <c r="D133">
        <f t="shared" si="2"/>
        <v>-5.0616999335108522E-3</v>
      </c>
      <c r="E133">
        <f t="shared" si="3"/>
        <v>-1.0622149692617973E-2</v>
      </c>
    </row>
    <row r="134" spans="1:5">
      <c r="A134" s="2">
        <v>45573</v>
      </c>
      <c r="B134">
        <v>23307.94921875</v>
      </c>
      <c r="C134">
        <v>2203.24682617187</v>
      </c>
      <c r="D134">
        <f t="shared" si="2"/>
        <v>1.4368147789382993E-2</v>
      </c>
      <c r="E134">
        <f t="shared" si="3"/>
        <v>1.9334315713662811E-2</v>
      </c>
    </row>
    <row r="135" spans="1:5">
      <c r="A135" s="2">
        <v>45574</v>
      </c>
      <c r="B135">
        <v>23783.80078125</v>
      </c>
      <c r="C135">
        <v>2271.91967773437</v>
      </c>
      <c r="D135">
        <f t="shared" si="2"/>
        <v>2.0415848603153933E-2</v>
      </c>
      <c r="E135">
        <f t="shared" si="3"/>
        <v>3.1168932480351613E-2</v>
      </c>
    </row>
    <row r="136" spans="1:5">
      <c r="A136" s="2">
        <v>45575</v>
      </c>
      <c r="B136">
        <v>23305.150390625</v>
      </c>
      <c r="C136">
        <v>2141.33178710937</v>
      </c>
      <c r="D136">
        <f t="shared" ref="D136:D199" si="4">(B136-B135)/B135</f>
        <v>-2.0125058859488298E-2</v>
      </c>
      <c r="E136">
        <f t="shared" ref="E136:E199" si="5">(C136-C135)/C135</f>
        <v>-5.747909660046889E-2</v>
      </c>
    </row>
    <row r="137" spans="1:5">
      <c r="A137" s="2">
        <v>45576</v>
      </c>
      <c r="B137">
        <v>23582.25</v>
      </c>
      <c r="C137">
        <v>2210.75</v>
      </c>
      <c r="D137">
        <f t="shared" si="4"/>
        <v>1.1890058838087109E-2</v>
      </c>
      <c r="E137">
        <f t="shared" si="5"/>
        <v>3.2418242380055987E-2</v>
      </c>
    </row>
    <row r="138" spans="1:5">
      <c r="A138" s="2">
        <v>45579</v>
      </c>
      <c r="B138">
        <v>23680</v>
      </c>
      <c r="C138">
        <v>2230.03002929687</v>
      </c>
      <c r="D138">
        <f t="shared" si="4"/>
        <v>4.1450667345143064E-3</v>
      </c>
      <c r="E138">
        <f t="shared" si="5"/>
        <v>8.7210355295126076E-3</v>
      </c>
    </row>
    <row r="139" spans="1:5">
      <c r="A139" s="2">
        <v>45580</v>
      </c>
      <c r="B139">
        <v>23555.69921875</v>
      </c>
      <c r="C139">
        <v>2236.98681640625</v>
      </c>
      <c r="D139">
        <f t="shared" si="4"/>
        <v>-5.249188397381757E-3</v>
      </c>
      <c r="E139">
        <f t="shared" si="5"/>
        <v>3.1195934664491861E-3</v>
      </c>
    </row>
    <row r="140" spans="1:5">
      <c r="A140" s="2">
        <v>45581</v>
      </c>
      <c r="B140">
        <v>23467.349609375</v>
      </c>
      <c r="C140">
        <v>2181.73071289062</v>
      </c>
      <c r="D140">
        <f t="shared" si="4"/>
        <v>-3.7506680890489114E-3</v>
      </c>
      <c r="E140">
        <f t="shared" si="5"/>
        <v>-2.4701130605856537E-2</v>
      </c>
    </row>
    <row r="141" spans="1:5">
      <c r="A141" s="2">
        <v>45582</v>
      </c>
      <c r="B141">
        <v>23254</v>
      </c>
      <c r="C141">
        <v>2162.84814453125</v>
      </c>
      <c r="D141">
        <f t="shared" si="4"/>
        <v>-9.0913380899975468E-3</v>
      </c>
      <c r="E141">
        <f t="shared" si="5"/>
        <v>-8.6548574706326129E-3</v>
      </c>
    </row>
    <row r="142" spans="1:5">
      <c r="A142" s="2">
        <v>45583</v>
      </c>
      <c r="B142">
        <v>23356.19921875</v>
      </c>
      <c r="C142">
        <v>2166.22705078125</v>
      </c>
      <c r="D142">
        <f t="shared" si="4"/>
        <v>4.3949092091683153E-3</v>
      </c>
      <c r="E142">
        <f t="shared" si="5"/>
        <v>1.5622484909740642E-3</v>
      </c>
    </row>
    <row r="143" spans="1:5">
      <c r="A143" s="2">
        <v>45586</v>
      </c>
      <c r="B143">
        <v>23122.69921875</v>
      </c>
      <c r="C143">
        <v>2138.6484375</v>
      </c>
      <c r="D143">
        <f t="shared" si="4"/>
        <v>-9.9973457929982794E-3</v>
      </c>
      <c r="E143">
        <f t="shared" si="5"/>
        <v>-1.2731173895785194E-2</v>
      </c>
    </row>
    <row r="144" spans="1:5">
      <c r="A144" s="2">
        <v>45587</v>
      </c>
      <c r="B144">
        <v>22828.19921875</v>
      </c>
      <c r="C144">
        <v>2118.87158203125</v>
      </c>
      <c r="D144">
        <f t="shared" si="4"/>
        <v>-1.2736402321109314E-2</v>
      </c>
      <c r="E144">
        <f t="shared" si="5"/>
        <v>-9.247361614921807E-3</v>
      </c>
    </row>
    <row r="145" spans="1:5">
      <c r="A145" s="2">
        <v>45588</v>
      </c>
      <c r="B145">
        <v>22471.599609375</v>
      </c>
      <c r="C145">
        <v>2061.72705078125</v>
      </c>
      <c r="D145">
        <f t="shared" si="4"/>
        <v>-1.562101355248845E-2</v>
      </c>
      <c r="E145">
        <f t="shared" si="5"/>
        <v>-2.6969322602938762E-2</v>
      </c>
    </row>
    <row r="146" spans="1:5">
      <c r="A146" s="2">
        <v>45589</v>
      </c>
      <c r="B146">
        <v>22570.80078125</v>
      </c>
      <c r="C146">
        <v>2118.37475585937</v>
      </c>
      <c r="D146">
        <f t="shared" si="4"/>
        <v>4.4145131454555618E-3</v>
      </c>
      <c r="E146">
        <f t="shared" si="5"/>
        <v>2.7475850916664497E-2</v>
      </c>
    </row>
    <row r="147" spans="1:5">
      <c r="A147" s="2">
        <v>45590</v>
      </c>
      <c r="B147">
        <v>22574.55078125</v>
      </c>
      <c r="C147">
        <v>2143.369140625</v>
      </c>
      <c r="D147">
        <f t="shared" si="4"/>
        <v>1.6614386154678205E-4</v>
      </c>
      <c r="E147">
        <f t="shared" si="5"/>
        <v>1.1798849422887135E-2</v>
      </c>
    </row>
    <row r="148" spans="1:5">
      <c r="A148" s="2">
        <v>45593</v>
      </c>
      <c r="B148">
        <v>22857.25</v>
      </c>
      <c r="C148">
        <v>2191.07250976562</v>
      </c>
      <c r="D148">
        <f t="shared" si="4"/>
        <v>1.2522916690098865E-2</v>
      </c>
      <c r="E148">
        <f t="shared" si="5"/>
        <v>2.225625452772444E-2</v>
      </c>
    </row>
    <row r="149" spans="1:5">
      <c r="A149" s="2">
        <v>45594</v>
      </c>
      <c r="B149">
        <v>22601.400390625</v>
      </c>
      <c r="C149">
        <v>2192.51342773437</v>
      </c>
      <c r="D149">
        <f t="shared" si="4"/>
        <v>-1.1193367941244025E-2</v>
      </c>
      <c r="E149">
        <f t="shared" si="5"/>
        <v>6.5763134826794735E-4</v>
      </c>
    </row>
    <row r="150" spans="1:5">
      <c r="A150" s="2">
        <v>45595</v>
      </c>
      <c r="B150">
        <v>22374.94921875</v>
      </c>
      <c r="C150">
        <v>2144.90966796875</v>
      </c>
      <c r="D150">
        <f t="shared" si="4"/>
        <v>-1.0019342516888083E-2</v>
      </c>
      <c r="E150">
        <f t="shared" si="5"/>
        <v>-2.1711958140576252E-2</v>
      </c>
    </row>
    <row r="151" spans="1:5">
      <c r="A151" s="2">
        <v>45596</v>
      </c>
      <c r="B151">
        <v>22735.55078125</v>
      </c>
      <c r="C151">
        <v>2173.43212890625</v>
      </c>
      <c r="D151">
        <f t="shared" si="4"/>
        <v>1.6116307526535936E-2</v>
      </c>
      <c r="E151">
        <f t="shared" si="5"/>
        <v>1.3297744591972045E-2</v>
      </c>
    </row>
    <row r="152" spans="1:5">
      <c r="A152" s="2">
        <v>45597</v>
      </c>
      <c r="B152">
        <v>22807.150390625</v>
      </c>
      <c r="C152">
        <v>2184.11572265625</v>
      </c>
      <c r="D152">
        <f t="shared" si="4"/>
        <v>3.1492357525839299E-3</v>
      </c>
      <c r="E152">
        <f t="shared" si="5"/>
        <v>4.9155405443354573E-3</v>
      </c>
    </row>
    <row r="153" spans="1:5">
      <c r="A153" s="2">
        <v>45600</v>
      </c>
      <c r="B153">
        <v>22638.30078125</v>
      </c>
      <c r="C153">
        <v>2174.82373046875</v>
      </c>
      <c r="D153">
        <f t="shared" si="4"/>
        <v>-7.4033628262655084E-3</v>
      </c>
      <c r="E153">
        <f t="shared" si="5"/>
        <v>-4.2543497540502954E-3</v>
      </c>
    </row>
    <row r="154" spans="1:5">
      <c r="A154" s="2">
        <v>45601</v>
      </c>
      <c r="B154">
        <v>22661.25</v>
      </c>
      <c r="C154">
        <v>2168.26440429687</v>
      </c>
      <c r="D154">
        <f t="shared" si="4"/>
        <v>1.0137341566292606E-3</v>
      </c>
      <c r="E154">
        <f t="shared" si="5"/>
        <v>-3.0160265772280494E-3</v>
      </c>
    </row>
    <row r="155" spans="1:5">
      <c r="A155" s="2">
        <v>45602</v>
      </c>
      <c r="B155">
        <v>22920.349609375</v>
      </c>
      <c r="C155">
        <v>2152.66137695312</v>
      </c>
      <c r="D155">
        <f t="shared" si="4"/>
        <v>1.1433597412984721E-2</v>
      </c>
      <c r="E155">
        <f t="shared" si="5"/>
        <v>-7.1960907133047673E-3</v>
      </c>
    </row>
    <row r="156" spans="1:5">
      <c r="A156" s="2">
        <v>45603</v>
      </c>
      <c r="B156">
        <v>22526.94921875</v>
      </c>
      <c r="C156">
        <v>2098.44848632812</v>
      </c>
      <c r="D156">
        <f t="shared" si="4"/>
        <v>-1.716380410114204E-2</v>
      </c>
      <c r="E156">
        <f t="shared" si="5"/>
        <v>-2.5184123803871562E-2</v>
      </c>
    </row>
    <row r="157" spans="1:5">
      <c r="A157" s="2">
        <v>45604</v>
      </c>
      <c r="B157">
        <v>22542.25</v>
      </c>
      <c r="C157">
        <v>2091.59130859375</v>
      </c>
      <c r="D157">
        <f t="shared" si="4"/>
        <v>6.7922118975900217E-4</v>
      </c>
      <c r="E157">
        <f t="shared" si="5"/>
        <v>-3.2677369871341165E-3</v>
      </c>
    </row>
    <row r="158" spans="1:5">
      <c r="A158" s="2">
        <v>45607</v>
      </c>
      <c r="B158">
        <v>22344.25</v>
      </c>
      <c r="C158">
        <v>2072.01293945312</v>
      </c>
      <c r="D158">
        <f t="shared" si="4"/>
        <v>-8.783506526633322E-3</v>
      </c>
      <c r="E158">
        <f t="shared" si="5"/>
        <v>-9.3605137199547963E-3</v>
      </c>
    </row>
    <row r="159" spans="1:5">
      <c r="A159" s="2">
        <v>45608</v>
      </c>
      <c r="B159">
        <v>22151.599609375</v>
      </c>
      <c r="C159">
        <v>2077.18090820312</v>
      </c>
      <c r="D159">
        <f t="shared" si="4"/>
        <v>-8.6219224464907079E-3</v>
      </c>
      <c r="E159">
        <f t="shared" si="5"/>
        <v>2.4941778362465323E-3</v>
      </c>
    </row>
    <row r="160" spans="1:5">
      <c r="A160" s="2">
        <v>45609</v>
      </c>
      <c r="B160">
        <v>21809.30078125</v>
      </c>
      <c r="C160">
        <v>2026.39672851562</v>
      </c>
      <c r="D160">
        <f t="shared" si="4"/>
        <v>-1.5452555759455507E-2</v>
      </c>
      <c r="E160">
        <f t="shared" si="5"/>
        <v>-2.444860699756345E-2</v>
      </c>
    </row>
    <row r="161" spans="1:5">
      <c r="A161" s="2">
        <v>45610</v>
      </c>
      <c r="B161">
        <v>21752</v>
      </c>
      <c r="C161">
        <v>2003.38977050781</v>
      </c>
      <c r="D161">
        <f t="shared" si="4"/>
        <v>-2.627355265752624E-3</v>
      </c>
      <c r="E161">
        <f t="shared" si="5"/>
        <v>-1.1353629663951885E-2</v>
      </c>
    </row>
    <row r="162" spans="1:5">
      <c r="A162" s="2">
        <v>45614</v>
      </c>
      <c r="B162">
        <v>21544.150390625</v>
      </c>
      <c r="C162">
        <v>2023.16674804687</v>
      </c>
      <c r="D162">
        <f t="shared" si="4"/>
        <v>-9.5554252195200438E-3</v>
      </c>
      <c r="E162">
        <f t="shared" si="5"/>
        <v>9.8717572736966817E-3</v>
      </c>
    </row>
    <row r="163" spans="1:5">
      <c r="A163" s="2">
        <v>45615</v>
      </c>
      <c r="B163">
        <v>21768.849609375</v>
      </c>
      <c r="C163">
        <v>2025.6015625</v>
      </c>
      <c r="D163">
        <f t="shared" si="4"/>
        <v>1.0429708977884712E-2</v>
      </c>
      <c r="E163">
        <f t="shared" si="5"/>
        <v>1.2034670179709754E-3</v>
      </c>
    </row>
    <row r="164" spans="1:5">
      <c r="A164" s="2">
        <v>45617</v>
      </c>
      <c r="B164">
        <v>21740.099609375</v>
      </c>
      <c r="C164">
        <v>2030.37194824218</v>
      </c>
      <c r="D164">
        <f t="shared" si="4"/>
        <v>-1.3206945022771661E-3</v>
      </c>
      <c r="E164">
        <f t="shared" si="5"/>
        <v>2.3550464368186901E-3</v>
      </c>
    </row>
    <row r="165" spans="1:5">
      <c r="A165" s="2">
        <v>45618</v>
      </c>
      <c r="B165">
        <v>21962.05078125</v>
      </c>
      <c r="C165">
        <v>2058.546875</v>
      </c>
      <c r="D165">
        <f t="shared" si="4"/>
        <v>1.0209298754973865E-2</v>
      </c>
      <c r="E165">
        <f t="shared" si="5"/>
        <v>1.3876731690571671E-2</v>
      </c>
    </row>
    <row r="166" spans="1:5">
      <c r="A166" s="2">
        <v>45621</v>
      </c>
      <c r="B166">
        <v>22177.05078125</v>
      </c>
      <c r="C166">
        <v>2094.12524414062</v>
      </c>
      <c r="D166">
        <f t="shared" si="4"/>
        <v>9.7896140092506873E-3</v>
      </c>
      <c r="E166">
        <f t="shared" si="5"/>
        <v>1.7283244590007209E-2</v>
      </c>
    </row>
    <row r="167" spans="1:5">
      <c r="A167" s="2">
        <v>45622</v>
      </c>
      <c r="B167">
        <v>21961.75</v>
      </c>
      <c r="C167">
        <v>2023.41528320312</v>
      </c>
      <c r="D167">
        <f t="shared" si="4"/>
        <v>-9.7082692993619348E-3</v>
      </c>
      <c r="E167">
        <f t="shared" si="5"/>
        <v>-3.3765870086016614E-2</v>
      </c>
    </row>
    <row r="168" spans="1:5">
      <c r="A168" s="2">
        <v>45623</v>
      </c>
      <c r="B168">
        <v>21828.599609375</v>
      </c>
      <c r="C168">
        <v>1993.94848632812</v>
      </c>
      <c r="D168">
        <f t="shared" si="4"/>
        <v>-6.0628315423406605E-3</v>
      </c>
      <c r="E168">
        <f t="shared" si="5"/>
        <v>-1.4562901209460709E-2</v>
      </c>
    </row>
    <row r="169" spans="1:5">
      <c r="A169" s="2">
        <v>45624</v>
      </c>
      <c r="B169">
        <v>21728.599609375</v>
      </c>
      <c r="C169">
        <v>1986.04772949218</v>
      </c>
      <c r="D169">
        <f t="shared" si="4"/>
        <v>-4.5811459181766181E-3</v>
      </c>
      <c r="E169">
        <f t="shared" si="5"/>
        <v>-3.9623675787579344E-3</v>
      </c>
    </row>
    <row r="170" spans="1:5">
      <c r="A170" s="2">
        <v>45625</v>
      </c>
      <c r="B170">
        <v>22240.19921875</v>
      </c>
      <c r="C170">
        <v>2038.07409667968</v>
      </c>
      <c r="D170">
        <f t="shared" si="4"/>
        <v>2.3544987646339884E-2</v>
      </c>
      <c r="E170">
        <f t="shared" si="5"/>
        <v>2.6195929944142288E-2</v>
      </c>
    </row>
    <row r="171" spans="1:5">
      <c r="A171" s="2">
        <v>45628</v>
      </c>
      <c r="B171">
        <v>22450.19921875</v>
      </c>
      <c r="C171">
        <v>2056.7578125</v>
      </c>
      <c r="D171">
        <f t="shared" si="4"/>
        <v>9.4423614615356376E-3</v>
      </c>
      <c r="E171">
        <f t="shared" si="5"/>
        <v>9.1673388375616473E-3</v>
      </c>
    </row>
    <row r="172" spans="1:5">
      <c r="A172" s="2">
        <v>45629</v>
      </c>
      <c r="B172">
        <v>22445.69921875</v>
      </c>
      <c r="C172">
        <v>2068.78295898437</v>
      </c>
      <c r="D172">
        <f t="shared" si="4"/>
        <v>-2.0044365558420887E-4</v>
      </c>
      <c r="E172">
        <f t="shared" si="5"/>
        <v>5.8466516627708196E-3</v>
      </c>
    </row>
    <row r="173" spans="1:5">
      <c r="A173" s="2">
        <v>45630</v>
      </c>
      <c r="B173">
        <v>22422.900390625</v>
      </c>
      <c r="C173">
        <v>2088.65942382812</v>
      </c>
      <c r="D173">
        <f t="shared" si="4"/>
        <v>-1.0157325865774328E-3</v>
      </c>
      <c r="E173">
        <f t="shared" si="5"/>
        <v>9.6078057668785005E-3</v>
      </c>
    </row>
    <row r="174" spans="1:5">
      <c r="A174" s="2">
        <v>45631</v>
      </c>
      <c r="B174">
        <v>22463.400390625</v>
      </c>
      <c r="C174">
        <v>2111.91479492187</v>
      </c>
      <c r="D174">
        <f t="shared" si="4"/>
        <v>1.8061891768886877E-3</v>
      </c>
      <c r="E174">
        <f t="shared" si="5"/>
        <v>1.1134113502874144E-2</v>
      </c>
    </row>
    <row r="175" spans="1:5">
      <c r="A175" s="2">
        <v>45632</v>
      </c>
      <c r="B175">
        <v>22434.75</v>
      </c>
      <c r="C175">
        <v>2120.3623046875</v>
      </c>
      <c r="D175">
        <f t="shared" si="4"/>
        <v>-1.2754253642274531E-3</v>
      </c>
      <c r="E175">
        <f t="shared" si="5"/>
        <v>3.9999292518534194E-3</v>
      </c>
    </row>
    <row r="176" spans="1:5">
      <c r="A176" s="2">
        <v>45635</v>
      </c>
      <c r="B176">
        <v>22309.099609375</v>
      </c>
      <c r="C176">
        <v>2091.6904296875</v>
      </c>
      <c r="D176">
        <f t="shared" si="4"/>
        <v>-5.6007038467110176E-3</v>
      </c>
      <c r="E176">
        <f t="shared" si="5"/>
        <v>-1.3522158423876374E-2</v>
      </c>
    </row>
    <row r="177" spans="1:5">
      <c r="A177" s="2">
        <v>45636</v>
      </c>
      <c r="B177">
        <v>22291.44921875</v>
      </c>
      <c r="C177">
        <v>2120.85913085937</v>
      </c>
      <c r="D177">
        <f t="shared" si="4"/>
        <v>-7.9117449534282141E-4</v>
      </c>
      <c r="E177">
        <f t="shared" si="5"/>
        <v>1.3945037352505275E-2</v>
      </c>
    </row>
    <row r="178" spans="1:5">
      <c r="A178" s="2">
        <v>45637</v>
      </c>
      <c r="B178">
        <v>22302.599609375</v>
      </c>
      <c r="C178">
        <v>2137.10791015625</v>
      </c>
      <c r="D178">
        <f t="shared" si="4"/>
        <v>5.0020931863061977E-4</v>
      </c>
      <c r="E178">
        <f t="shared" si="5"/>
        <v>7.6614137452382389E-3</v>
      </c>
    </row>
    <row r="179" spans="1:5">
      <c r="A179" s="2">
        <v>45638</v>
      </c>
      <c r="B179">
        <v>22229.30078125</v>
      </c>
      <c r="C179">
        <v>2106.7470703125</v>
      </c>
      <c r="D179">
        <f t="shared" si="4"/>
        <v>-3.2865598364680546E-3</v>
      </c>
      <c r="E179">
        <f t="shared" si="5"/>
        <v>-1.4206507635606587E-2</v>
      </c>
    </row>
    <row r="180" spans="1:5">
      <c r="A180" s="2">
        <v>45639</v>
      </c>
      <c r="B180">
        <v>22157.349609375</v>
      </c>
      <c r="C180">
        <v>2063.91333007812</v>
      </c>
      <c r="D180">
        <f t="shared" si="4"/>
        <v>-3.2367717087929942E-3</v>
      </c>
      <c r="E180">
        <f t="shared" si="5"/>
        <v>-2.0331695644900716E-2</v>
      </c>
    </row>
    <row r="181" spans="1:5">
      <c r="A181" s="2">
        <v>45642</v>
      </c>
      <c r="B181">
        <v>22255.55078125</v>
      </c>
      <c r="C181">
        <v>2050.64575195312</v>
      </c>
      <c r="D181">
        <f t="shared" si="4"/>
        <v>4.4319909017209386E-3</v>
      </c>
      <c r="E181">
        <f t="shared" si="5"/>
        <v>-6.4283601116611891E-3</v>
      </c>
    </row>
    <row r="182" spans="1:5">
      <c r="A182" s="2">
        <v>45643</v>
      </c>
      <c r="B182">
        <v>22074.55078125</v>
      </c>
      <c r="C182">
        <v>2034.595703125</v>
      </c>
      <c r="D182">
        <f t="shared" si="4"/>
        <v>-8.1328025434665961E-3</v>
      </c>
      <c r="E182">
        <f t="shared" si="5"/>
        <v>-7.826826653425276E-3</v>
      </c>
    </row>
    <row r="183" spans="1:5">
      <c r="A183" s="2">
        <v>45644</v>
      </c>
      <c r="B183">
        <v>22314.55078125</v>
      </c>
      <c r="C183">
        <v>2086.12524414062</v>
      </c>
      <c r="D183">
        <f t="shared" si="4"/>
        <v>1.0872248426629576E-2</v>
      </c>
      <c r="E183">
        <f t="shared" si="5"/>
        <v>2.5326673469561616E-2</v>
      </c>
    </row>
    <row r="184" spans="1:5">
      <c r="A184" s="2">
        <v>45645</v>
      </c>
      <c r="B184">
        <v>22697.900390625</v>
      </c>
      <c r="C184">
        <v>2149.48120117187</v>
      </c>
      <c r="D184">
        <f t="shared" si="4"/>
        <v>1.7179355889033309E-2</v>
      </c>
      <c r="E184">
        <f t="shared" si="5"/>
        <v>3.0370159801862476E-2</v>
      </c>
    </row>
    <row r="185" spans="1:5">
      <c r="A185" s="2">
        <v>45646</v>
      </c>
      <c r="B185">
        <v>22501.849609375</v>
      </c>
      <c r="C185">
        <v>2137.40625</v>
      </c>
      <c r="D185">
        <f t="shared" si="4"/>
        <v>-8.6373971986843153E-3</v>
      </c>
      <c r="E185">
        <f t="shared" si="5"/>
        <v>-5.6176118987627741E-3</v>
      </c>
    </row>
    <row r="186" spans="1:5">
      <c r="A186" s="2">
        <v>45649</v>
      </c>
      <c r="B186">
        <v>22572.05078125</v>
      </c>
      <c r="C186">
        <v>2146.94702148437</v>
      </c>
      <c r="D186">
        <f t="shared" si="4"/>
        <v>3.1197956209676166E-3</v>
      </c>
      <c r="E186">
        <f t="shared" si="5"/>
        <v>4.4637146000532178E-3</v>
      </c>
    </row>
    <row r="187" spans="1:5">
      <c r="A187" s="2">
        <v>45650</v>
      </c>
      <c r="B187">
        <v>22558.900390625</v>
      </c>
      <c r="C187">
        <v>2156.04028320312</v>
      </c>
      <c r="D187">
        <f t="shared" si="4"/>
        <v>-5.8259618288311133E-4</v>
      </c>
      <c r="E187">
        <f t="shared" si="5"/>
        <v>4.2354383353451555E-3</v>
      </c>
    </row>
    <row r="188" spans="1:5">
      <c r="A188" s="2">
        <v>45652</v>
      </c>
      <c r="B188">
        <v>22712.55078125</v>
      </c>
      <c r="C188">
        <v>2168.6123046875</v>
      </c>
      <c r="D188">
        <f t="shared" si="4"/>
        <v>6.8110762477081484E-3</v>
      </c>
      <c r="E188">
        <f t="shared" si="5"/>
        <v>5.8310698470356902E-3</v>
      </c>
    </row>
    <row r="189" spans="1:5">
      <c r="A189" s="2">
        <v>45653</v>
      </c>
      <c r="B189">
        <v>23008.349609375</v>
      </c>
      <c r="C189">
        <v>2214.02978515625</v>
      </c>
      <c r="D189">
        <f t="shared" si="4"/>
        <v>1.3023584667962183E-2</v>
      </c>
      <c r="E189">
        <f t="shared" si="5"/>
        <v>2.0943107428920874E-2</v>
      </c>
    </row>
    <row r="190" spans="1:5">
      <c r="A190" s="2">
        <v>45656</v>
      </c>
      <c r="B190">
        <v>23241.150390625</v>
      </c>
      <c r="C190">
        <v>2297.0634765625</v>
      </c>
      <c r="D190">
        <f t="shared" si="4"/>
        <v>1.0118099959466142E-2</v>
      </c>
      <c r="E190">
        <f t="shared" si="5"/>
        <v>3.75034211205926E-2</v>
      </c>
    </row>
    <row r="191" spans="1:5">
      <c r="A191" s="2">
        <v>45657</v>
      </c>
      <c r="B191">
        <v>23412.25</v>
      </c>
      <c r="C191">
        <v>2341.13916015625</v>
      </c>
      <c r="D191">
        <f t="shared" si="4"/>
        <v>7.3619251413655513E-3</v>
      </c>
      <c r="E191">
        <f t="shared" si="5"/>
        <v>1.9187838753027493E-2</v>
      </c>
    </row>
    <row r="192" spans="1:5">
      <c r="A192" s="2">
        <v>45658</v>
      </c>
      <c r="B192">
        <v>23459.75</v>
      </c>
      <c r="C192">
        <v>2350.2822265625</v>
      </c>
      <c r="D192">
        <f t="shared" si="4"/>
        <v>2.0288524170039191E-3</v>
      </c>
      <c r="E192">
        <f t="shared" si="5"/>
        <v>3.9053921107533745E-3</v>
      </c>
    </row>
    <row r="193" spans="1:5">
      <c r="A193" s="2">
        <v>45659</v>
      </c>
      <c r="B193">
        <v>23553.400390625</v>
      </c>
      <c r="C193">
        <v>2381.28955078125</v>
      </c>
      <c r="D193">
        <f t="shared" si="4"/>
        <v>3.9919602990227945E-3</v>
      </c>
      <c r="E193">
        <f t="shared" si="5"/>
        <v>1.3193021616004394E-2</v>
      </c>
    </row>
    <row r="194" spans="1:5">
      <c r="A194" s="2">
        <v>45660</v>
      </c>
      <c r="B194">
        <v>23263.5</v>
      </c>
      <c r="C194">
        <v>2354.2080078125</v>
      </c>
      <c r="D194">
        <f t="shared" si="4"/>
        <v>-1.2308218168803751E-2</v>
      </c>
      <c r="E194">
        <f t="shared" si="5"/>
        <v>-1.1372637552566896E-2</v>
      </c>
    </row>
    <row r="195" spans="1:5">
      <c r="A195" s="2">
        <v>45663</v>
      </c>
      <c r="B195">
        <v>23073.05078125</v>
      </c>
      <c r="C195">
        <v>2345.71069335937</v>
      </c>
      <c r="D195">
        <f t="shared" si="4"/>
        <v>-8.1866107314032717E-3</v>
      </c>
      <c r="E195">
        <f t="shared" si="5"/>
        <v>-3.6094153213868294E-3</v>
      </c>
    </row>
    <row r="196" spans="1:5">
      <c r="A196" s="2">
        <v>45664</v>
      </c>
      <c r="B196">
        <v>23228.55078125</v>
      </c>
      <c r="C196">
        <v>2343.07690429687</v>
      </c>
      <c r="D196">
        <f t="shared" si="4"/>
        <v>6.739464211917956E-3</v>
      </c>
      <c r="E196">
        <f t="shared" si="5"/>
        <v>-1.1228106986748922E-3</v>
      </c>
    </row>
    <row r="197" spans="1:5">
      <c r="A197" s="2">
        <v>45665</v>
      </c>
      <c r="B197">
        <v>23011.099609375</v>
      </c>
      <c r="C197">
        <v>2238.22900390625</v>
      </c>
      <c r="D197">
        <f t="shared" si="4"/>
        <v>-9.3613748839865545E-3</v>
      </c>
      <c r="E197">
        <f t="shared" si="5"/>
        <v>-4.474795522005439E-2</v>
      </c>
    </row>
    <row r="198" spans="1:5">
      <c r="A198" s="2">
        <v>45666</v>
      </c>
      <c r="B198">
        <v>22868.099609375</v>
      </c>
      <c r="C198">
        <v>2238.92504882812</v>
      </c>
      <c r="D198">
        <f t="shared" si="4"/>
        <v>-6.2143922901337608E-3</v>
      </c>
      <c r="E198">
        <f t="shared" si="5"/>
        <v>3.1098020830541977E-4</v>
      </c>
    </row>
    <row r="199" spans="1:5">
      <c r="A199" s="2">
        <v>45667</v>
      </c>
      <c r="B199">
        <v>22380.849609375</v>
      </c>
      <c r="C199">
        <v>2177.556640625</v>
      </c>
      <c r="D199">
        <f t="shared" si="4"/>
        <v>-2.1306973833551394E-2</v>
      </c>
      <c r="E199">
        <f t="shared" si="5"/>
        <v>-2.7409764447113114E-2</v>
      </c>
    </row>
    <row r="200" spans="1:5">
      <c r="A200" s="2">
        <v>45670</v>
      </c>
      <c r="B200">
        <v>21903.349609375</v>
      </c>
      <c r="C200">
        <v>2141.13305664062</v>
      </c>
      <c r="D200">
        <f t="shared" ref="D200:D252" si="6">(B200-B199)/B199</f>
        <v>-2.1335204352563204E-2</v>
      </c>
      <c r="E200">
        <f t="shared" ref="E200:E252" si="7">(C200-C199)/C199</f>
        <v>-1.6726813578509601E-2</v>
      </c>
    </row>
    <row r="201" spans="1:5">
      <c r="A201" s="2">
        <v>45671</v>
      </c>
      <c r="B201">
        <v>22203.900390625</v>
      </c>
      <c r="C201">
        <v>2141.2822265625</v>
      </c>
      <c r="D201">
        <f t="shared" si="6"/>
        <v>1.3721681231867807E-2</v>
      </c>
      <c r="E201">
        <f t="shared" si="7"/>
        <v>6.9668683792144053E-5</v>
      </c>
    </row>
    <row r="202" spans="1:5">
      <c r="A202" s="2">
        <v>45672</v>
      </c>
      <c r="B202">
        <v>21972.69921875</v>
      </c>
      <c r="C202">
        <v>2115.54223632812</v>
      </c>
      <c r="D202">
        <f t="shared" si="6"/>
        <v>-1.0412637771182691E-2</v>
      </c>
      <c r="E202">
        <f t="shared" si="7"/>
        <v>-1.2020830283405287E-2</v>
      </c>
    </row>
    <row r="203" spans="1:5">
      <c r="A203" s="2">
        <v>45673</v>
      </c>
      <c r="B203">
        <v>21909.75</v>
      </c>
      <c r="C203">
        <v>2085.92626953125</v>
      </c>
      <c r="D203">
        <f t="shared" si="6"/>
        <v>-2.8648832864504622E-3</v>
      </c>
      <c r="E203">
        <f t="shared" si="7"/>
        <v>-1.3999232106220436E-2</v>
      </c>
    </row>
    <row r="204" spans="1:5">
      <c r="A204" s="2">
        <v>45674</v>
      </c>
      <c r="B204">
        <v>22061.69921875</v>
      </c>
      <c r="C204">
        <v>2100.08837890625</v>
      </c>
      <c r="D204">
        <f t="shared" si="6"/>
        <v>6.9352328871849292E-3</v>
      </c>
      <c r="E204">
        <f t="shared" si="7"/>
        <v>6.7893623959117758E-3</v>
      </c>
    </row>
    <row r="205" spans="1:5">
      <c r="A205" s="2">
        <v>45677</v>
      </c>
      <c r="B205">
        <v>22182.400390625</v>
      </c>
      <c r="C205">
        <v>2117.47998046875</v>
      </c>
      <c r="D205">
        <f t="shared" si="6"/>
        <v>5.4710732241520805E-3</v>
      </c>
      <c r="E205">
        <f t="shared" si="7"/>
        <v>8.2813665068504141E-3</v>
      </c>
    </row>
    <row r="206" spans="1:5">
      <c r="A206" s="2">
        <v>45678</v>
      </c>
      <c r="B206">
        <v>21882.900390625</v>
      </c>
      <c r="C206">
        <v>2091.24340820312</v>
      </c>
      <c r="D206">
        <f t="shared" si="6"/>
        <v>-1.3501694799746666E-2</v>
      </c>
      <c r="E206">
        <f t="shared" si="7"/>
        <v>-1.2390470043462687E-2</v>
      </c>
    </row>
    <row r="207" spans="1:5">
      <c r="A207" s="2">
        <v>45679</v>
      </c>
      <c r="B207">
        <v>22034.94921875</v>
      </c>
      <c r="C207">
        <v>2125.92749023437</v>
      </c>
      <c r="D207">
        <f t="shared" si="6"/>
        <v>6.9482941205609222E-3</v>
      </c>
      <c r="E207">
        <f t="shared" si="7"/>
        <v>1.6585387380157697E-2</v>
      </c>
    </row>
    <row r="208" spans="1:5">
      <c r="A208" s="2">
        <v>45680</v>
      </c>
      <c r="B208">
        <v>22343.30078125</v>
      </c>
      <c r="C208">
        <v>2137.90307617187</v>
      </c>
      <c r="D208">
        <f t="shared" si="6"/>
        <v>1.3993749631045993E-2</v>
      </c>
      <c r="E208">
        <f t="shared" si="7"/>
        <v>5.6331111914733117E-3</v>
      </c>
    </row>
    <row r="209" spans="1:5">
      <c r="A209" s="2">
        <v>45681</v>
      </c>
      <c r="B209">
        <v>21872.400390625</v>
      </c>
      <c r="C209">
        <v>2121.05786132812</v>
      </c>
      <c r="D209">
        <f t="shared" si="6"/>
        <v>-2.1075685962217771E-2</v>
      </c>
      <c r="E209">
        <f t="shared" si="7"/>
        <v>-7.8793164346407357E-3</v>
      </c>
    </row>
    <row r="210" spans="1:5">
      <c r="A210" s="2">
        <v>45684</v>
      </c>
      <c r="B210">
        <v>21292.30078125</v>
      </c>
      <c r="C210">
        <v>2066.1494140625</v>
      </c>
      <c r="D210">
        <f t="shared" si="6"/>
        <v>-2.6521991140197106E-2</v>
      </c>
      <c r="E210">
        <f t="shared" si="7"/>
        <v>-2.5887293442923131E-2</v>
      </c>
    </row>
    <row r="211" spans="1:5">
      <c r="A211" s="2">
        <v>45685</v>
      </c>
      <c r="B211">
        <v>20796.599609375</v>
      </c>
      <c r="C211">
        <v>2009.849609375</v>
      </c>
      <c r="D211">
        <f t="shared" si="6"/>
        <v>-2.3280770686440539E-2</v>
      </c>
      <c r="E211">
        <f t="shared" si="7"/>
        <v>-2.7248660868529499E-2</v>
      </c>
    </row>
    <row r="212" spans="1:5">
      <c r="A212" s="2">
        <v>45686</v>
      </c>
      <c r="B212">
        <v>21163.900390625</v>
      </c>
      <c r="C212">
        <v>2055.36645507812</v>
      </c>
      <c r="D212">
        <f t="shared" si="6"/>
        <v>1.7661578726765634E-2</v>
      </c>
      <c r="E212">
        <f t="shared" si="7"/>
        <v>2.2646891334956305E-2</v>
      </c>
    </row>
    <row r="213" spans="1:5">
      <c r="A213" s="2">
        <v>45687</v>
      </c>
      <c r="B213">
        <v>21419.650390625</v>
      </c>
      <c r="C213">
        <v>2051.6396484375</v>
      </c>
      <c r="D213">
        <f t="shared" si="6"/>
        <v>1.2084256459328731E-2</v>
      </c>
      <c r="E213">
        <f t="shared" si="7"/>
        <v>-1.8132078741541736E-3</v>
      </c>
    </row>
    <row r="214" spans="1:5">
      <c r="A214" s="2">
        <v>45688</v>
      </c>
      <c r="B214">
        <v>21438.599609375</v>
      </c>
      <c r="C214">
        <v>2067.59033203125</v>
      </c>
      <c r="D214">
        <f t="shared" si="6"/>
        <v>8.8466517447426389E-4</v>
      </c>
      <c r="E214">
        <f t="shared" si="7"/>
        <v>7.7746029162079301E-3</v>
      </c>
    </row>
    <row r="215" spans="1:5">
      <c r="A215" s="2">
        <v>45691</v>
      </c>
      <c r="B215">
        <v>21361.599609375</v>
      </c>
      <c r="C215">
        <v>2019.6884765625</v>
      </c>
      <c r="D215">
        <f t="shared" si="6"/>
        <v>-3.5916525054336223E-3</v>
      </c>
      <c r="E215">
        <f t="shared" si="7"/>
        <v>-2.3167962592323631E-2</v>
      </c>
    </row>
    <row r="216" spans="1:5">
      <c r="A216" s="2">
        <v>45692</v>
      </c>
      <c r="B216">
        <v>21733.94921875</v>
      </c>
      <c r="C216">
        <v>2098.150390625</v>
      </c>
      <c r="D216">
        <f t="shared" si="6"/>
        <v>1.7430792458612804E-2</v>
      </c>
      <c r="E216">
        <f t="shared" si="7"/>
        <v>3.8848522914802085E-2</v>
      </c>
    </row>
    <row r="217" spans="1:5">
      <c r="A217" s="2">
        <v>45693</v>
      </c>
      <c r="B217">
        <v>21868.5</v>
      </c>
      <c r="C217">
        <v>2171.59375</v>
      </c>
      <c r="D217">
        <f t="shared" si="6"/>
        <v>6.1908114303461373E-3</v>
      </c>
      <c r="E217">
        <f t="shared" si="7"/>
        <v>3.5003858495158961E-2</v>
      </c>
    </row>
    <row r="218" spans="1:5">
      <c r="A218" s="2">
        <v>45694</v>
      </c>
      <c r="B218">
        <v>22009.05078125</v>
      </c>
      <c r="C218">
        <v>2171.84228515625</v>
      </c>
      <c r="D218">
        <f t="shared" si="6"/>
        <v>6.427088334819489E-3</v>
      </c>
      <c r="E218">
        <f t="shared" si="7"/>
        <v>1.1444827387719273E-4</v>
      </c>
    </row>
    <row r="219" spans="1:5">
      <c r="A219" s="2">
        <v>45695</v>
      </c>
      <c r="B219">
        <v>22077</v>
      </c>
      <c r="C219">
        <v>2187.54443359375</v>
      </c>
      <c r="D219">
        <f t="shared" si="6"/>
        <v>3.0873307270428696E-3</v>
      </c>
      <c r="E219">
        <f t="shared" si="7"/>
        <v>7.2298750902947502E-3</v>
      </c>
    </row>
    <row r="220" spans="1:5">
      <c r="A220" s="2">
        <v>45698</v>
      </c>
      <c r="B220">
        <v>21665.650390625</v>
      </c>
      <c r="C220">
        <v>2155.99047851562</v>
      </c>
      <c r="D220">
        <f t="shared" si="6"/>
        <v>-1.8632495781809123E-2</v>
      </c>
      <c r="E220">
        <f t="shared" si="7"/>
        <v>-1.4424372183513738E-2</v>
      </c>
    </row>
    <row r="221" spans="1:5">
      <c r="A221" s="2">
        <v>45699</v>
      </c>
      <c r="B221">
        <v>21249.5</v>
      </c>
      <c r="C221">
        <v>2054.82006835937</v>
      </c>
      <c r="D221">
        <f t="shared" si="6"/>
        <v>-1.9207842050524063E-2</v>
      </c>
      <c r="E221">
        <f t="shared" si="7"/>
        <v>-4.692525832762718E-2</v>
      </c>
    </row>
    <row r="222" spans="1:5">
      <c r="A222" s="2">
        <v>45700</v>
      </c>
      <c r="B222">
        <v>21142.05078125</v>
      </c>
      <c r="C222">
        <v>2012.68188476562</v>
      </c>
      <c r="D222">
        <f t="shared" si="6"/>
        <v>-5.0565528012423821E-3</v>
      </c>
      <c r="E222">
        <f t="shared" si="7"/>
        <v>-2.0506994379996684E-2</v>
      </c>
    </row>
    <row r="223" spans="1:5">
      <c r="A223" s="2">
        <v>45701</v>
      </c>
      <c r="B223">
        <v>21427.099609375</v>
      </c>
      <c r="C223">
        <v>2042.54626464843</v>
      </c>
      <c r="D223">
        <f t="shared" si="6"/>
        <v>1.3482553375465254E-2</v>
      </c>
      <c r="E223">
        <f t="shared" si="7"/>
        <v>1.4838102389085572E-2</v>
      </c>
    </row>
    <row r="224" spans="1:5">
      <c r="A224" s="2">
        <v>45702</v>
      </c>
      <c r="B224">
        <v>20811.55078125</v>
      </c>
      <c r="C224">
        <v>1957.72387695312</v>
      </c>
      <c r="D224">
        <f t="shared" si="6"/>
        <v>-2.872758513035889E-2</v>
      </c>
      <c r="E224">
        <f t="shared" si="7"/>
        <v>-4.1527768140865055E-2</v>
      </c>
    </row>
    <row r="225" spans="1:5">
      <c r="A225" s="2">
        <v>45705</v>
      </c>
      <c r="B225">
        <v>21076</v>
      </c>
      <c r="C225">
        <v>2014.42114257812</v>
      </c>
      <c r="D225">
        <f t="shared" si="6"/>
        <v>1.2706848304079935E-2</v>
      </c>
      <c r="E225">
        <f t="shared" si="7"/>
        <v>2.896080815709318E-2</v>
      </c>
    </row>
    <row r="226" spans="1:5">
      <c r="A226" s="2">
        <v>45706</v>
      </c>
      <c r="B226">
        <v>20969.19921875</v>
      </c>
      <c r="C226">
        <v>2001.05432128906</v>
      </c>
      <c r="D226">
        <f t="shared" si="6"/>
        <v>-5.0674122817422661E-3</v>
      </c>
      <c r="E226">
        <f t="shared" si="7"/>
        <v>-6.6355644341345218E-3</v>
      </c>
    </row>
    <row r="227" spans="1:5">
      <c r="A227" s="2">
        <v>45707</v>
      </c>
      <c r="B227">
        <v>20820</v>
      </c>
      <c r="C227">
        <v>1966.02221679687</v>
      </c>
      <c r="D227">
        <f t="shared" si="6"/>
        <v>-7.1151605358678047E-3</v>
      </c>
      <c r="E227">
        <f t="shared" si="7"/>
        <v>-1.7506823337820561E-2</v>
      </c>
    </row>
    <row r="228" spans="1:5">
      <c r="A228" s="2">
        <v>45708</v>
      </c>
      <c r="B228">
        <v>20785.75</v>
      </c>
      <c r="C228">
        <v>1965.27685546875</v>
      </c>
      <c r="D228">
        <f t="shared" si="6"/>
        <v>-1.6450528338136407E-3</v>
      </c>
      <c r="E228">
        <f t="shared" si="7"/>
        <v>-3.7912151844060707E-4</v>
      </c>
    </row>
    <row r="229" spans="1:5">
      <c r="A229" s="2">
        <v>45709</v>
      </c>
      <c r="B229">
        <v>20385.650390625</v>
      </c>
      <c r="C229">
        <v>1893.57275390625</v>
      </c>
      <c r="D229">
        <f t="shared" si="6"/>
        <v>-1.9248745384458102E-2</v>
      </c>
      <c r="E229">
        <f t="shared" si="7"/>
        <v>-3.6485496363003481E-2</v>
      </c>
    </row>
    <row r="230" spans="1:5">
      <c r="A230" s="2">
        <v>45712</v>
      </c>
      <c r="B230">
        <v>20389.69921875</v>
      </c>
      <c r="C230">
        <v>1891.03857421875</v>
      </c>
      <c r="D230">
        <f t="shared" si="6"/>
        <v>1.9861167279028706E-4</v>
      </c>
      <c r="E230">
        <f t="shared" si="7"/>
        <v>-1.3383059522124208E-3</v>
      </c>
    </row>
    <row r="231" spans="1:5">
      <c r="A231" s="2">
        <v>45713</v>
      </c>
      <c r="B231">
        <v>20249.150390625</v>
      </c>
      <c r="C231">
        <v>1887.46081542968</v>
      </c>
      <c r="D231">
        <f t="shared" si="6"/>
        <v>-6.893129055859433E-3</v>
      </c>
      <c r="E231">
        <f t="shared" si="7"/>
        <v>-1.891954420098539E-3</v>
      </c>
    </row>
    <row r="232" spans="1:5">
      <c r="A232" s="2">
        <v>45715</v>
      </c>
      <c r="B232">
        <v>20201.25</v>
      </c>
      <c r="C232">
        <v>1879.36120605468</v>
      </c>
      <c r="D232">
        <f t="shared" si="6"/>
        <v>-2.3655506379752621E-3</v>
      </c>
      <c r="E232">
        <f t="shared" si="7"/>
        <v>-4.2912728618189223E-3</v>
      </c>
    </row>
    <row r="233" spans="1:5">
      <c r="A233" s="2">
        <v>45716</v>
      </c>
      <c r="B233">
        <v>19813.5</v>
      </c>
      <c r="C233">
        <v>1892.87719726562</v>
      </c>
      <c r="D233">
        <f t="shared" si="6"/>
        <v>-1.9194356784852422E-2</v>
      </c>
      <c r="E233">
        <f t="shared" si="7"/>
        <v>7.1918006859968955E-3</v>
      </c>
    </row>
    <row r="234" spans="1:5">
      <c r="A234" s="2">
        <v>45719</v>
      </c>
      <c r="B234">
        <v>19879.80078125</v>
      </c>
      <c r="C234">
        <v>1940.87854003906</v>
      </c>
      <c r="D234">
        <f t="shared" si="6"/>
        <v>3.3462427763898354E-3</v>
      </c>
      <c r="E234">
        <f t="shared" si="7"/>
        <v>2.5358931283435058E-2</v>
      </c>
    </row>
    <row r="235" spans="1:5">
      <c r="A235" s="2">
        <v>45720</v>
      </c>
      <c r="B235">
        <v>19820.650390625</v>
      </c>
      <c r="C235">
        <v>1941.126953125</v>
      </c>
      <c r="D235">
        <f t="shared" si="6"/>
        <v>-2.9754015785102223E-3</v>
      </c>
      <c r="E235">
        <f t="shared" si="7"/>
        <v>1.2799002143379967E-4</v>
      </c>
    </row>
    <row r="236" spans="1:5">
      <c r="A236" s="2">
        <v>45721</v>
      </c>
      <c r="B236">
        <v>20126.80078125</v>
      </c>
      <c r="C236">
        <v>1997.67529296875</v>
      </c>
      <c r="D236">
        <f t="shared" si="6"/>
        <v>1.544603151720019E-2</v>
      </c>
      <c r="E236">
        <f t="shared" si="7"/>
        <v>2.9131706070390409E-2</v>
      </c>
    </row>
    <row r="237" spans="1:5">
      <c r="A237" s="2">
        <v>45722</v>
      </c>
      <c r="B237">
        <v>20423.349609375</v>
      </c>
      <c r="C237">
        <v>2006.0234375</v>
      </c>
      <c r="D237">
        <f t="shared" si="6"/>
        <v>1.4734027098895071E-2</v>
      </c>
      <c r="E237">
        <f t="shared" si="7"/>
        <v>4.1789296592059273E-3</v>
      </c>
    </row>
    <row r="238" spans="1:5">
      <c r="A238" s="2">
        <v>45723</v>
      </c>
      <c r="B238">
        <v>20378.30078125</v>
      </c>
      <c r="C238">
        <v>2017.45227050781</v>
      </c>
      <c r="D238">
        <f t="shared" si="6"/>
        <v>-2.2057512105811026E-3</v>
      </c>
      <c r="E238">
        <f t="shared" si="7"/>
        <v>5.6972579652674171E-3</v>
      </c>
    </row>
    <row r="239" spans="1:5">
      <c r="A239" s="2">
        <v>45726</v>
      </c>
      <c r="B239">
        <v>20256.55078125</v>
      </c>
      <c r="C239">
        <v>1997.97351074218</v>
      </c>
      <c r="D239">
        <f t="shared" si="6"/>
        <v>-5.9744922457922369E-3</v>
      </c>
      <c r="E239">
        <f t="shared" si="7"/>
        <v>-9.6551279305988405E-3</v>
      </c>
    </row>
    <row r="240" spans="1:5">
      <c r="A240" s="2">
        <v>45727</v>
      </c>
      <c r="B240">
        <v>20332.099609375</v>
      </c>
      <c r="C240">
        <v>1963.88549804687</v>
      </c>
      <c r="D240">
        <f t="shared" si="6"/>
        <v>3.7295998188857501E-3</v>
      </c>
      <c r="E240">
        <f t="shared" si="7"/>
        <v>-1.706129361176938E-2</v>
      </c>
    </row>
    <row r="241" spans="1:5">
      <c r="A241" s="2">
        <v>45728</v>
      </c>
      <c r="B241">
        <v>20424</v>
      </c>
      <c r="C241">
        <v>1954.54357910156</v>
      </c>
      <c r="D241">
        <f t="shared" si="6"/>
        <v>4.5199655908937869E-3</v>
      </c>
      <c r="E241">
        <f t="shared" si="7"/>
        <v>-4.7568552008764031E-3</v>
      </c>
    </row>
    <row r="242" spans="1:5">
      <c r="A242" s="2">
        <v>45729</v>
      </c>
      <c r="B242">
        <v>20386.849609375</v>
      </c>
      <c r="C242">
        <v>1956.28271484375</v>
      </c>
      <c r="D242">
        <f t="shared" si="6"/>
        <v>-1.8189576295045045E-3</v>
      </c>
      <c r="E242">
        <f t="shared" si="7"/>
        <v>8.8979123350599592E-4</v>
      </c>
    </row>
    <row r="243" spans="1:5">
      <c r="A243" s="2">
        <v>45733</v>
      </c>
      <c r="B243">
        <v>20703.94921875</v>
      </c>
      <c r="C243">
        <v>1979.5380859375</v>
      </c>
      <c r="D243">
        <f t="shared" si="6"/>
        <v>1.5554125107646847E-2</v>
      </c>
      <c r="E243">
        <f t="shared" si="7"/>
        <v>1.1887530834523284E-2</v>
      </c>
    </row>
    <row r="244" spans="1:5">
      <c r="A244" s="2">
        <v>45734</v>
      </c>
      <c r="B244">
        <v>21041.30078125</v>
      </c>
      <c r="C244">
        <v>1979.5380859375</v>
      </c>
      <c r="D244">
        <f t="shared" si="6"/>
        <v>1.6294068292752872E-2</v>
      </c>
      <c r="E244">
        <f t="shared" si="7"/>
        <v>0</v>
      </c>
    </row>
    <row r="245" spans="1:5">
      <c r="A245" s="2">
        <v>45735</v>
      </c>
      <c r="B245">
        <v>21145.650390625</v>
      </c>
      <c r="C245">
        <v>2048.2109375</v>
      </c>
      <c r="D245">
        <f t="shared" si="6"/>
        <v>4.9592755913639344E-3</v>
      </c>
      <c r="E245">
        <f t="shared" si="7"/>
        <v>3.4691351507883141E-2</v>
      </c>
    </row>
    <row r="246" spans="1:5">
      <c r="A246" s="2">
        <v>45736</v>
      </c>
      <c r="B246">
        <v>21340.599609375</v>
      </c>
      <c r="C246">
        <v>2072.80810546875</v>
      </c>
      <c r="D246">
        <f t="shared" si="6"/>
        <v>9.2193531600442725E-3</v>
      </c>
      <c r="E246">
        <f t="shared" si="7"/>
        <v>1.2009099023156642E-2</v>
      </c>
    </row>
    <row r="247" spans="1:5">
      <c r="A247" s="2">
        <v>45737</v>
      </c>
      <c r="B247">
        <v>21625.900390625</v>
      </c>
      <c r="C247">
        <v>2101.62866210937</v>
      </c>
      <c r="D247">
        <f t="shared" si="6"/>
        <v>1.3368920577314349E-2</v>
      </c>
      <c r="E247">
        <f t="shared" si="7"/>
        <v>1.3904112283516203E-2</v>
      </c>
    </row>
    <row r="248" spans="1:5">
      <c r="A248" s="2">
        <v>45740</v>
      </c>
      <c r="B248">
        <v>21771.150390625</v>
      </c>
      <c r="C248">
        <v>2106.84619140625</v>
      </c>
      <c r="D248">
        <f t="shared" si="6"/>
        <v>6.7164833545135085E-3</v>
      </c>
      <c r="E248">
        <f t="shared" si="7"/>
        <v>2.4826123619970304E-3</v>
      </c>
    </row>
    <row r="249" spans="1:5">
      <c r="A249" s="2">
        <v>45741</v>
      </c>
      <c r="B249">
        <v>21542.5</v>
      </c>
      <c r="C249">
        <v>2055.962890625</v>
      </c>
      <c r="D249">
        <f t="shared" si="6"/>
        <v>-1.0502448723309563E-2</v>
      </c>
      <c r="E249">
        <f t="shared" si="7"/>
        <v>-2.415140743961337E-2</v>
      </c>
    </row>
    <row r="250" spans="1:5">
      <c r="A250" s="2">
        <v>45742</v>
      </c>
      <c r="B250">
        <v>21360.599609375</v>
      </c>
      <c r="C250">
        <v>2046.07434082031</v>
      </c>
      <c r="D250">
        <f t="shared" si="6"/>
        <v>-8.4437920680051053E-3</v>
      </c>
      <c r="E250">
        <f t="shared" si="7"/>
        <v>-4.8096927477537998E-3</v>
      </c>
    </row>
    <row r="251" spans="1:5">
      <c r="A251" s="2">
        <v>45743</v>
      </c>
      <c r="B251">
        <v>21275.150390625</v>
      </c>
      <c r="C251">
        <v>2006.32165527343</v>
      </c>
      <c r="D251">
        <f t="shared" si="6"/>
        <v>-4.0003192940565677E-3</v>
      </c>
      <c r="E251">
        <f t="shared" si="7"/>
        <v>-1.9428759138312834E-2</v>
      </c>
    </row>
    <row r="252" spans="1:5">
      <c r="A252" s="2">
        <v>45744</v>
      </c>
      <c r="B252">
        <v>21137.44921875</v>
      </c>
      <c r="C252">
        <v>2015.41491699218</v>
      </c>
      <c r="D252">
        <f t="shared" si="6"/>
        <v>-6.4723947585197186E-3</v>
      </c>
      <c r="E252">
        <f t="shared" si="7"/>
        <v>4.5323050243958676E-3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C9F1E-40BE-4E19-BB8F-755336A65B7D}">
  <dimension ref="A1:X252"/>
  <sheetViews>
    <sheetView topLeftCell="F1" workbookViewId="0">
      <selection activeCell="P2" sqref="P2:T2"/>
    </sheetView>
  </sheetViews>
  <sheetFormatPr defaultRowHeight="15" customHeight="1"/>
  <cols>
    <col min="2" max="2" width="42.5546875" bestFit="1" customWidth="1"/>
    <col min="3" max="3" width="9.5546875" bestFit="1" customWidth="1"/>
    <col min="4" max="5" width="1.88671875" bestFit="1" customWidth="1"/>
    <col min="6" max="6" width="53" bestFit="1" customWidth="1"/>
    <col min="7" max="7" width="9.5546875" bestFit="1" customWidth="1"/>
    <col min="8" max="9" width="9.5546875" customWidth="1"/>
    <col min="10" max="10" width="17" bestFit="1" customWidth="1"/>
    <col min="11" max="11" width="12.33203125" bestFit="1" customWidth="1"/>
    <col min="12" max="12" width="18.88671875" bestFit="1" customWidth="1"/>
    <col min="13" max="13" width="75.109375" bestFit="1" customWidth="1"/>
    <col min="16" max="16" width="11.109375" bestFit="1" customWidth="1"/>
    <col min="17" max="17" width="13.88671875" bestFit="1" customWidth="1"/>
    <col min="18" max="18" width="12.33203125" bestFit="1" customWidth="1"/>
    <col min="19" max="20" width="12.5546875" bestFit="1" customWidth="1"/>
    <col min="23" max="23" width="27" bestFit="1" customWidth="1"/>
    <col min="24" max="24" width="16.6640625" bestFit="1" customWidth="1"/>
  </cols>
  <sheetData>
    <row r="1" spans="1:24" ht="14.4">
      <c r="A1" s="3"/>
      <c r="B1" s="3"/>
      <c r="C1" s="3"/>
      <c r="D1" s="3"/>
      <c r="E1" s="3"/>
      <c r="F1" s="3"/>
      <c r="G1" s="3"/>
      <c r="H1" s="3"/>
      <c r="I1" s="3"/>
    </row>
    <row r="2" spans="1:24" ht="21">
      <c r="A2" s="3"/>
      <c r="B2" s="3"/>
      <c r="C2" s="61" t="s">
        <v>152</v>
      </c>
      <c r="D2" s="62"/>
      <c r="E2" s="62"/>
      <c r="F2" s="63"/>
      <c r="G2" s="3"/>
      <c r="H2" s="3"/>
      <c r="I2" s="3"/>
      <c r="P2" s="64" t="s">
        <v>151</v>
      </c>
      <c r="Q2" s="65"/>
      <c r="R2" s="65"/>
      <c r="S2" s="65"/>
      <c r="T2" s="66"/>
    </row>
    <row r="3" spans="1:24" ht="14.4">
      <c r="A3" s="3"/>
      <c r="B3" s="3"/>
      <c r="C3" s="3"/>
      <c r="D3" s="3"/>
      <c r="E3" s="3"/>
      <c r="F3" s="3"/>
      <c r="G3" s="3"/>
      <c r="H3" s="3"/>
      <c r="I3" s="3"/>
      <c r="P3" s="57" t="s">
        <v>1</v>
      </c>
      <c r="Q3" s="57" t="s">
        <v>2</v>
      </c>
      <c r="R3" s="57" t="s">
        <v>2</v>
      </c>
      <c r="S3" s="57" t="s">
        <v>3</v>
      </c>
      <c r="T3" s="57" t="s">
        <v>3</v>
      </c>
      <c r="W3" s="58" t="s">
        <v>142</v>
      </c>
      <c r="X3" s="58" t="s">
        <v>143</v>
      </c>
    </row>
    <row r="4" spans="1:24" ht="14.4">
      <c r="A4" s="3"/>
      <c r="B4" s="4" t="s">
        <v>153</v>
      </c>
      <c r="C4" s="5">
        <v>46105</v>
      </c>
      <c r="D4" s="3" t="s">
        <v>16</v>
      </c>
      <c r="E4" s="3"/>
      <c r="F4" s="4" t="s">
        <v>154</v>
      </c>
      <c r="G4" s="5">
        <v>46105</v>
      </c>
      <c r="H4" s="28"/>
      <c r="I4" s="28"/>
      <c r="P4" s="57" t="s">
        <v>6</v>
      </c>
      <c r="Q4" s="57" t="s">
        <v>7</v>
      </c>
      <c r="R4" s="57" t="s">
        <v>151</v>
      </c>
      <c r="S4" s="57" t="s">
        <v>8</v>
      </c>
      <c r="T4" s="57" t="s">
        <v>9</v>
      </c>
      <c r="W4" s="43">
        <f>_xlfn.COVARIANCE.S(S7:S252,T7:T252)</f>
        <v>1.3062992815790923E-4</v>
      </c>
      <c r="X4" s="43">
        <f>_xlfn.VAR.S(S7:S252)</f>
        <v>1.0123143075821166E-4</v>
      </c>
    </row>
    <row r="5" spans="1:24" ht="14.4">
      <c r="A5" s="3"/>
      <c r="B5" s="7" t="s">
        <v>16</v>
      </c>
      <c r="C5" s="8" t="s">
        <v>17</v>
      </c>
      <c r="D5" s="3" t="s">
        <v>16</v>
      </c>
      <c r="E5" s="3"/>
      <c r="F5" s="7" t="s">
        <v>16</v>
      </c>
      <c r="G5" s="8" t="s">
        <v>17</v>
      </c>
      <c r="H5" s="3"/>
      <c r="I5" s="3"/>
      <c r="P5" s="57" t="s">
        <v>10</v>
      </c>
      <c r="Q5" s="57"/>
      <c r="R5" s="57"/>
      <c r="S5" s="57"/>
      <c r="T5" s="57"/>
      <c r="W5" s="59"/>
      <c r="X5" s="59"/>
    </row>
    <row r="6" spans="1:24" ht="14.4">
      <c r="A6" s="3"/>
      <c r="B6" s="7" t="s">
        <v>18</v>
      </c>
      <c r="C6" s="8" t="s">
        <v>19</v>
      </c>
      <c r="D6" s="3" t="s">
        <v>16</v>
      </c>
      <c r="E6" s="3"/>
      <c r="F6" s="7" t="s">
        <v>20</v>
      </c>
      <c r="G6" s="8" t="s">
        <v>19</v>
      </c>
      <c r="H6" s="3"/>
      <c r="I6" s="3"/>
      <c r="P6" s="53">
        <v>45383</v>
      </c>
      <c r="Q6" s="41">
        <v>19207.900390625</v>
      </c>
      <c r="R6" s="41">
        <v>1606.66943359375</v>
      </c>
      <c r="S6" s="41"/>
      <c r="T6" s="41"/>
      <c r="W6" s="58" t="s">
        <v>11</v>
      </c>
      <c r="X6" s="59"/>
    </row>
    <row r="7" spans="1:24" ht="14.4">
      <c r="A7" s="3"/>
      <c r="B7" s="7" t="s">
        <v>21</v>
      </c>
      <c r="C7" s="8" t="s">
        <v>19</v>
      </c>
      <c r="D7" s="3" t="s">
        <v>16</v>
      </c>
      <c r="E7" s="3"/>
      <c r="F7" s="7" t="s">
        <v>22</v>
      </c>
      <c r="G7" s="10">
        <v>19656.34</v>
      </c>
      <c r="H7" s="21"/>
      <c r="I7" s="21"/>
      <c r="P7" s="53">
        <v>45384</v>
      </c>
      <c r="Q7" s="41">
        <v>19185.150390625</v>
      </c>
      <c r="R7" s="41">
        <v>1592.96520996093</v>
      </c>
      <c r="S7" s="41">
        <f>(Q7-Q6)/Q6</f>
        <v>-1.1844084744995777E-3</v>
      </c>
      <c r="T7" s="41">
        <f>(R7-R6)/R6</f>
        <v>-8.5295850822074866E-3</v>
      </c>
      <c r="W7" s="43">
        <f>W4/X4</f>
        <v>1.2904087908222401</v>
      </c>
      <c r="X7" s="59"/>
    </row>
    <row r="8" spans="1:24" ht="14.4">
      <c r="A8" s="3"/>
      <c r="B8" s="7" t="s">
        <v>23</v>
      </c>
      <c r="C8" s="8">
        <v>91.14</v>
      </c>
      <c r="D8" s="3" t="s">
        <v>16</v>
      </c>
      <c r="E8" s="3"/>
      <c r="F8" s="7" t="s">
        <v>24</v>
      </c>
      <c r="G8" s="8">
        <v>0</v>
      </c>
      <c r="H8" s="3"/>
      <c r="I8" s="3"/>
      <c r="P8" s="53">
        <v>45385</v>
      </c>
      <c r="Q8" s="41">
        <v>19153.05078125</v>
      </c>
      <c r="R8" s="41">
        <v>1588.51257324218</v>
      </c>
      <c r="S8" s="41">
        <f t="shared" ref="S8:T71" si="0">(Q8-Q7)/Q7</f>
        <v>-1.6731486968528414E-3</v>
      </c>
      <c r="T8" s="41">
        <f t="shared" si="0"/>
        <v>-2.7951876732193091E-3</v>
      </c>
      <c r="W8" s="59"/>
      <c r="X8" s="59"/>
    </row>
    <row r="9" spans="1:24" ht="14.4">
      <c r="A9" s="3"/>
      <c r="B9" s="7" t="s">
        <v>25</v>
      </c>
      <c r="C9" s="8">
        <v>91.14</v>
      </c>
      <c r="D9" s="3" t="s">
        <v>16</v>
      </c>
      <c r="E9" s="3"/>
      <c r="F9" s="7" t="s">
        <v>26</v>
      </c>
      <c r="G9" s="10">
        <v>19656.34</v>
      </c>
      <c r="H9" s="21"/>
      <c r="I9" s="21"/>
      <c r="P9" s="53">
        <v>45386</v>
      </c>
      <c r="Q9" s="41">
        <v>19125.19921875</v>
      </c>
      <c r="R9" s="41">
        <v>1570.55346679687</v>
      </c>
      <c r="S9" s="41">
        <f t="shared" si="0"/>
        <v>-1.4541580251677432E-3</v>
      </c>
      <c r="T9" s="41">
        <f t="shared" si="0"/>
        <v>-1.1305611770296015E-2</v>
      </c>
      <c r="W9" s="58" t="s">
        <v>12</v>
      </c>
      <c r="X9" s="59"/>
    </row>
    <row r="10" spans="1:24" ht="14.4">
      <c r="A10" s="3"/>
      <c r="B10" s="7" t="s">
        <v>27</v>
      </c>
      <c r="C10" s="10">
        <v>14084.7</v>
      </c>
      <c r="D10" s="3" t="s">
        <v>16</v>
      </c>
      <c r="E10" s="3"/>
      <c r="F10" s="7" t="s">
        <v>28</v>
      </c>
      <c r="G10" s="10">
        <v>20010.82</v>
      </c>
      <c r="H10" s="21"/>
      <c r="I10" s="21"/>
      <c r="P10" s="53">
        <v>45387</v>
      </c>
      <c r="Q10" s="41">
        <v>19160.75</v>
      </c>
      <c r="R10" s="41">
        <v>1582.42724609375</v>
      </c>
      <c r="S10" s="41">
        <f t="shared" si="0"/>
        <v>1.8588450161160495E-3</v>
      </c>
      <c r="T10" s="41">
        <f t="shared" si="0"/>
        <v>7.5602515596597105E-3</v>
      </c>
      <c r="W10" s="43">
        <f>AVERAGE(S7:S252)</f>
        <v>4.3962859287504746E-4</v>
      </c>
      <c r="X10" s="59"/>
    </row>
    <row r="11" spans="1:24" ht="14.4">
      <c r="A11" s="3"/>
      <c r="B11" s="7" t="s">
        <v>29</v>
      </c>
      <c r="C11" s="10">
        <v>14084.7</v>
      </c>
      <c r="D11" s="3" t="s">
        <v>16</v>
      </c>
      <c r="E11" s="3"/>
      <c r="F11" s="7" t="s">
        <v>30</v>
      </c>
      <c r="G11" s="8">
        <v>120.17</v>
      </c>
      <c r="H11" s="3"/>
      <c r="I11" s="3"/>
      <c r="P11" s="53">
        <v>45390</v>
      </c>
      <c r="Q11" s="41">
        <v>19218.849609375</v>
      </c>
      <c r="R11" s="41">
        <v>1595.04309082031</v>
      </c>
      <c r="S11" s="41">
        <f t="shared" si="0"/>
        <v>3.0322200005219002E-3</v>
      </c>
      <c r="T11" s="41">
        <f t="shared" si="0"/>
        <v>7.9724642998295417E-3</v>
      </c>
    </row>
    <row r="12" spans="1:24" ht="14.4">
      <c r="A12" s="3"/>
      <c r="B12" s="7" t="s">
        <v>31</v>
      </c>
      <c r="C12" s="10">
        <v>14290.21</v>
      </c>
      <c r="D12" s="3" t="s">
        <v>16</v>
      </c>
      <c r="E12" s="3"/>
      <c r="F12" s="7" t="s">
        <v>32</v>
      </c>
      <c r="G12" s="10">
        <v>20130.990000000002</v>
      </c>
      <c r="H12" s="21"/>
      <c r="I12" s="21"/>
      <c r="P12" s="53">
        <v>45391</v>
      </c>
      <c r="Q12" s="41">
        <v>19182.30078125</v>
      </c>
      <c r="R12" s="41">
        <v>1588.76000976562</v>
      </c>
      <c r="S12" s="41">
        <f t="shared" si="0"/>
        <v>-1.901717785812289E-3</v>
      </c>
      <c r="T12" s="41">
        <f t="shared" si="0"/>
        <v>-3.9391293507053116E-3</v>
      </c>
    </row>
    <row r="13" spans="1:24" ht="14.4">
      <c r="A13" s="3"/>
      <c r="B13" s="7" t="s">
        <v>33</v>
      </c>
      <c r="C13" s="8">
        <v>83.16</v>
      </c>
      <c r="D13" s="3" t="s">
        <v>16</v>
      </c>
      <c r="E13" s="3"/>
      <c r="F13" s="7" t="s">
        <v>34</v>
      </c>
      <c r="G13" s="8" t="s">
        <v>19</v>
      </c>
      <c r="H13" s="3"/>
      <c r="I13" s="3"/>
      <c r="J13" s="51" t="s">
        <v>35</v>
      </c>
      <c r="K13" s="45">
        <f>C15 + C21</f>
        <v>2669.91</v>
      </c>
      <c r="L13" s="46" t="str">
        <f ca="1">_xlfn.FORMULATEXT(K13)</f>
        <v>=C15 + C21</v>
      </c>
      <c r="M13" s="46" t="s">
        <v>36</v>
      </c>
      <c r="P13" s="53">
        <v>45392</v>
      </c>
      <c r="Q13" s="41">
        <v>19117</v>
      </c>
      <c r="R13" s="41">
        <v>1587.72094726562</v>
      </c>
      <c r="S13" s="41">
        <f t="shared" si="0"/>
        <v>-3.4042204840114454E-3</v>
      </c>
      <c r="T13" s="41">
        <f t="shared" si="0"/>
        <v>-6.5400846799592248E-4</v>
      </c>
    </row>
    <row r="14" spans="1:24" ht="14.4">
      <c r="A14" s="3"/>
      <c r="B14" s="7" t="s">
        <v>37</v>
      </c>
      <c r="C14" s="8" t="s">
        <v>19</v>
      </c>
      <c r="D14" s="3" t="s">
        <v>16</v>
      </c>
      <c r="E14" s="3"/>
      <c r="F14" s="7" t="s">
        <v>38</v>
      </c>
      <c r="G14" s="10">
        <v>4142.1899999999996</v>
      </c>
      <c r="H14" s="21"/>
      <c r="I14" s="21"/>
      <c r="J14" s="52" t="s">
        <v>39</v>
      </c>
      <c r="K14" s="47">
        <f>K27 / K28</f>
        <v>4.759854126735628</v>
      </c>
      <c r="L14" s="48" t="str">
        <f ca="1">_xlfn.FORMULATEXT(K14)</f>
        <v>=K27 / K28</v>
      </c>
      <c r="M14" s="48" t="s">
        <v>40</v>
      </c>
      <c r="P14" s="53">
        <v>45394</v>
      </c>
      <c r="Q14" s="41">
        <v>18788.650390625</v>
      </c>
      <c r="R14" s="41">
        <v>1605.18530273437</v>
      </c>
      <c r="S14" s="41">
        <f t="shared" si="0"/>
        <v>-1.717579167102579E-2</v>
      </c>
      <c r="T14" s="41">
        <f t="shared" si="0"/>
        <v>1.0999637876433632E-2</v>
      </c>
    </row>
    <row r="15" spans="1:24" ht="14.4">
      <c r="A15" s="3"/>
      <c r="B15" s="7" t="s">
        <v>41</v>
      </c>
      <c r="C15" s="8">
        <v>0</v>
      </c>
      <c r="D15" s="3" t="s">
        <v>16</v>
      </c>
      <c r="E15" s="3"/>
      <c r="F15" s="7" t="s">
        <v>42</v>
      </c>
      <c r="G15" s="10">
        <v>2958.72</v>
      </c>
      <c r="H15" s="21"/>
      <c r="I15" s="21"/>
      <c r="J15" s="51" t="s">
        <v>43</v>
      </c>
      <c r="K15" s="49">
        <f>K28 / K29</f>
        <v>1.1286437928059219</v>
      </c>
      <c r="L15" s="46" t="str">
        <f t="shared" ref="L15:L21" ca="1" si="1">_xlfn.FORMULATEXT(K15)</f>
        <v>=K28 / K29</v>
      </c>
      <c r="M15" s="46" t="s">
        <v>44</v>
      </c>
      <c r="P15" s="53">
        <v>45397</v>
      </c>
      <c r="Q15" s="41">
        <v>18617.650390625</v>
      </c>
      <c r="R15" s="41">
        <v>1592.17358398437</v>
      </c>
      <c r="S15" s="41">
        <f t="shared" si="0"/>
        <v>-9.1012391228123615E-3</v>
      </c>
      <c r="T15" s="41">
        <f t="shared" si="0"/>
        <v>-8.1060540037558582E-3</v>
      </c>
    </row>
    <row r="16" spans="1:24" ht="14.4">
      <c r="A16" s="3"/>
      <c r="B16" s="7" t="s">
        <v>45</v>
      </c>
      <c r="C16" s="8">
        <v>245.87</v>
      </c>
      <c r="D16" s="3" t="s">
        <v>16</v>
      </c>
      <c r="E16" s="3"/>
      <c r="F16" s="7" t="s">
        <v>46</v>
      </c>
      <c r="G16" s="8">
        <v>0</v>
      </c>
      <c r="H16" s="3"/>
      <c r="I16" s="3"/>
      <c r="J16" s="51" t="s">
        <v>47</v>
      </c>
      <c r="K16" s="46">
        <f>K14 * K15</f>
        <v>5.3721798148018181</v>
      </c>
      <c r="L16" s="46" t="str">
        <f t="shared" ca="1" si="1"/>
        <v>=K14 * K15</v>
      </c>
      <c r="M16" s="46" t="s">
        <v>48</v>
      </c>
      <c r="P16" s="53">
        <v>45398</v>
      </c>
      <c r="Q16" s="41">
        <v>18695.599609375</v>
      </c>
      <c r="R16" s="41">
        <v>1594.49877929687</v>
      </c>
      <c r="S16" s="41">
        <f t="shared" si="0"/>
        <v>4.1868451235528448E-3</v>
      </c>
      <c r="T16" s="41">
        <f t="shared" si="0"/>
        <v>1.4603905854795453E-3</v>
      </c>
    </row>
    <row r="17" spans="1:20" ht="14.4">
      <c r="A17" s="3"/>
      <c r="B17" s="7" t="s">
        <v>49</v>
      </c>
      <c r="C17" s="8">
        <v>500.96</v>
      </c>
      <c r="D17" s="3" t="s">
        <v>16</v>
      </c>
      <c r="E17" s="3"/>
      <c r="F17" s="7" t="s">
        <v>50</v>
      </c>
      <c r="G17" s="8">
        <v>-457.44</v>
      </c>
      <c r="H17" s="3"/>
      <c r="I17" s="3"/>
      <c r="J17" s="51" t="s">
        <v>51</v>
      </c>
      <c r="K17" s="46">
        <f>G19 / (C15 + C21)</f>
        <v>0.11671179927413285</v>
      </c>
      <c r="L17" s="46" t="str">
        <f t="shared" ca="1" si="1"/>
        <v>=G19 / (C15 + C21)</v>
      </c>
      <c r="M17" s="46" t="s">
        <v>52</v>
      </c>
      <c r="P17" s="53">
        <v>45400</v>
      </c>
      <c r="Q17" s="41">
        <v>18525.75</v>
      </c>
      <c r="R17" s="41">
        <v>1577.28186035156</v>
      </c>
      <c r="S17" s="41">
        <f t="shared" si="0"/>
        <v>-9.0850046494271343E-3</v>
      </c>
      <c r="T17" s="41">
        <f t="shared" si="0"/>
        <v>-1.0797699671430407E-2</v>
      </c>
    </row>
    <row r="18" spans="1:20" ht="14.4">
      <c r="A18" s="3"/>
      <c r="B18" s="7" t="s">
        <v>53</v>
      </c>
      <c r="C18" s="8">
        <v>375.4</v>
      </c>
      <c r="D18" s="3" t="s">
        <v>16</v>
      </c>
      <c r="E18" s="3"/>
      <c r="F18" s="7" t="s">
        <v>54</v>
      </c>
      <c r="G18" s="10">
        <v>3494.57</v>
      </c>
      <c r="H18" s="21"/>
      <c r="I18" s="21"/>
      <c r="J18" s="51" t="s">
        <v>55</v>
      </c>
      <c r="K18" s="49">
        <f>K33+K31*(K32-K33)</f>
        <v>0.12350236245248868</v>
      </c>
      <c r="L18" s="46" t="str">
        <f t="shared" ca="1" si="1"/>
        <v>=K33+K31*(K32-K33)</v>
      </c>
      <c r="M18" s="46" t="s">
        <v>56</v>
      </c>
      <c r="P18" s="53">
        <v>45401</v>
      </c>
      <c r="Q18" s="41">
        <v>18404.599609375</v>
      </c>
      <c r="R18" s="41">
        <v>1531.27111816406</v>
      </c>
      <c r="S18" s="41">
        <f t="shared" si="0"/>
        <v>-6.5395673926831573E-3</v>
      </c>
      <c r="T18" s="41">
        <f t="shared" si="0"/>
        <v>-2.9170906826535541E-2</v>
      </c>
    </row>
    <row r="19" spans="1:20" ht="14.4">
      <c r="A19" s="3"/>
      <c r="B19" s="7" t="s">
        <v>57</v>
      </c>
      <c r="C19" s="10">
        <v>1122.23</v>
      </c>
      <c r="D19" s="3" t="s">
        <v>16</v>
      </c>
      <c r="E19" s="3"/>
      <c r="F19" s="7" t="s">
        <v>58</v>
      </c>
      <c r="G19" s="8">
        <v>311.61</v>
      </c>
      <c r="H19" s="3"/>
      <c r="I19" s="3"/>
      <c r="J19" s="51" t="s">
        <v>59</v>
      </c>
      <c r="K19" s="50">
        <f>G31 / G25</f>
        <v>0.20092722941703442</v>
      </c>
      <c r="L19" s="46" t="str">
        <f t="shared" ca="1" si="1"/>
        <v>=G31 / G25</v>
      </c>
      <c r="M19" s="46" t="s">
        <v>60</v>
      </c>
      <c r="P19" s="53">
        <v>45404</v>
      </c>
      <c r="Q19" s="41">
        <v>18643</v>
      </c>
      <c r="R19" s="41">
        <v>1586.78088378906</v>
      </c>
      <c r="S19" s="41">
        <f t="shared" si="0"/>
        <v>1.2953304917514357E-2</v>
      </c>
      <c r="T19" s="41">
        <f t="shared" si="0"/>
        <v>3.6250775559297593E-2</v>
      </c>
    </row>
    <row r="20" spans="1:20" ht="14.4">
      <c r="A20" s="3"/>
      <c r="B20" s="7" t="s">
        <v>61</v>
      </c>
      <c r="C20" s="8" t="s">
        <v>19</v>
      </c>
      <c r="D20" s="3" t="s">
        <v>16</v>
      </c>
      <c r="E20" s="3"/>
      <c r="F20" s="7" t="s">
        <v>62</v>
      </c>
      <c r="G20" s="10">
        <v>1196.81</v>
      </c>
      <c r="H20" s="21"/>
      <c r="I20" s="21"/>
      <c r="J20" s="51" t="s">
        <v>63</v>
      </c>
      <c r="K20" s="46">
        <f>K13 / (K13 + C12)</f>
        <v>0.15742282483850351</v>
      </c>
      <c r="L20" s="46" t="str">
        <f t="shared" ca="1" si="1"/>
        <v>=K13 / (K13 + C12)</v>
      </c>
      <c r="M20" s="46" t="s">
        <v>64</v>
      </c>
      <c r="P20" s="53">
        <v>45405</v>
      </c>
      <c r="Q20" s="41">
        <v>18463.75</v>
      </c>
      <c r="R20" s="41">
        <v>1563.42919921875</v>
      </c>
      <c r="S20" s="41">
        <f t="shared" si="0"/>
        <v>-9.6148688515796821E-3</v>
      </c>
      <c r="T20" s="41">
        <f t="shared" si="0"/>
        <v>-1.4716388890789205E-2</v>
      </c>
    </row>
    <row r="21" spans="1:20" ht="14.4">
      <c r="A21" s="3"/>
      <c r="B21" s="7" t="s">
        <v>65</v>
      </c>
      <c r="C21" s="10">
        <v>2669.91</v>
      </c>
      <c r="D21" s="3" t="s">
        <v>16</v>
      </c>
      <c r="E21" s="3"/>
      <c r="F21" s="7" t="s">
        <v>66</v>
      </c>
      <c r="G21" s="10">
        <v>6062.26</v>
      </c>
      <c r="H21" s="21"/>
      <c r="I21" s="21"/>
      <c r="J21" s="51" t="s">
        <v>67</v>
      </c>
      <c r="K21" s="46">
        <f>C12 / (K13 + C12)</f>
        <v>0.84257717516149655</v>
      </c>
      <c r="L21" s="46" t="str">
        <f t="shared" ca="1" si="1"/>
        <v>=C12 / (K13 + C12)</v>
      </c>
      <c r="M21" s="46" t="s">
        <v>68</v>
      </c>
      <c r="P21" s="53">
        <v>45406</v>
      </c>
      <c r="Q21" s="41">
        <v>18586.19921875</v>
      </c>
      <c r="R21" s="41">
        <v>1563.37976074218</v>
      </c>
      <c r="S21" s="41">
        <f t="shared" si="0"/>
        <v>6.6318715726761896E-3</v>
      </c>
      <c r="T21" s="41">
        <f t="shared" si="0"/>
        <v>-3.1621819903778105E-5</v>
      </c>
    </row>
    <row r="22" spans="1:20" ht="14.4">
      <c r="A22" s="3"/>
      <c r="B22" s="7" t="s">
        <v>69</v>
      </c>
      <c r="C22" s="10">
        <v>2958.11</v>
      </c>
      <c r="D22" s="3" t="s">
        <v>16</v>
      </c>
      <c r="E22" s="3"/>
      <c r="F22" s="7" t="s">
        <v>70</v>
      </c>
      <c r="G22" s="10">
        <v>17708.72</v>
      </c>
      <c r="H22" s="21"/>
      <c r="I22" s="21"/>
      <c r="J22" s="51" t="s">
        <v>71</v>
      </c>
      <c r="K22" s="49">
        <f>K21 * K18 + K20 * K17</f>
        <v>0.12243337281470759</v>
      </c>
      <c r="L22" s="46" t="str">
        <f ca="1">_xlfn.FORMULATEXT(K22)</f>
        <v>=K21 * K18 + K20 * K17</v>
      </c>
      <c r="M22" s="46" t="s">
        <v>72</v>
      </c>
      <c r="P22" s="53">
        <v>45407</v>
      </c>
      <c r="Q22" s="41">
        <v>18878.150390625</v>
      </c>
      <c r="R22" s="41">
        <v>1577.62829589843</v>
      </c>
      <c r="S22" s="41">
        <f t="shared" si="0"/>
        <v>1.5707954511779677E-2</v>
      </c>
      <c r="T22" s="41">
        <f t="shared" si="0"/>
        <v>9.1139309296711258E-3</v>
      </c>
    </row>
    <row r="23" spans="1:20" ht="14.4">
      <c r="A23" s="3"/>
      <c r="B23" s="7" t="s">
        <v>73</v>
      </c>
      <c r="C23" s="10">
        <v>2348.54</v>
      </c>
      <c r="D23" s="3" t="s">
        <v>16</v>
      </c>
      <c r="E23" s="3"/>
      <c r="F23" s="7" t="s">
        <v>74</v>
      </c>
      <c r="G23" s="10">
        <v>2422.27</v>
      </c>
      <c r="H23" s="21"/>
      <c r="I23" s="21"/>
      <c r="J23" s="3" t="s">
        <v>16</v>
      </c>
      <c r="K23" s="24"/>
      <c r="L23" s="3"/>
      <c r="M23" s="3"/>
      <c r="P23" s="53">
        <v>45408</v>
      </c>
      <c r="Q23" s="41">
        <v>18994.650390625</v>
      </c>
      <c r="R23" s="41">
        <v>1598.95141601562</v>
      </c>
      <c r="S23" s="41">
        <f t="shared" si="0"/>
        <v>6.1711554145608772E-3</v>
      </c>
      <c r="T23" s="41">
        <f t="shared" si="0"/>
        <v>1.3515934122522113E-2</v>
      </c>
    </row>
    <row r="24" spans="1:20" ht="14.4">
      <c r="A24" s="3"/>
      <c r="B24" s="7" t="s">
        <v>75</v>
      </c>
      <c r="C24" s="8">
        <v>524.94000000000005</v>
      </c>
      <c r="D24" s="3" t="s">
        <v>16</v>
      </c>
      <c r="E24" s="3"/>
      <c r="F24" s="7" t="s">
        <v>76</v>
      </c>
      <c r="G24" s="8">
        <v>0</v>
      </c>
      <c r="H24" s="3"/>
      <c r="I24" s="3"/>
      <c r="J24" s="3" t="s">
        <v>16</v>
      </c>
      <c r="K24" s="3"/>
      <c r="L24" s="3"/>
      <c r="M24" s="3"/>
      <c r="P24" s="53">
        <v>45411</v>
      </c>
      <c r="Q24" s="41">
        <v>19096.900390625</v>
      </c>
      <c r="R24" s="41">
        <v>1620.22534179687</v>
      </c>
      <c r="S24" s="41">
        <f t="shared" si="0"/>
        <v>5.3830946028080888E-3</v>
      </c>
      <c r="T24" s="41">
        <f t="shared" si="0"/>
        <v>1.3304923194140488E-2</v>
      </c>
    </row>
    <row r="25" spans="1:20" ht="14.4">
      <c r="A25" s="3"/>
      <c r="B25" s="7" t="s">
        <v>77</v>
      </c>
      <c r="C25" s="10">
        <v>8501.5</v>
      </c>
      <c r="D25" s="3" t="s">
        <v>16</v>
      </c>
      <c r="E25" s="3"/>
      <c r="F25" s="7" t="s">
        <v>78</v>
      </c>
      <c r="G25" s="10">
        <v>2422.27</v>
      </c>
      <c r="H25" s="21"/>
      <c r="I25" s="21"/>
      <c r="J25" s="3" t="s">
        <v>79</v>
      </c>
      <c r="K25" s="21">
        <f>G9</f>
        <v>19656.34</v>
      </c>
      <c r="L25" s="11" t="str">
        <f t="shared" ref="L25:L26" ca="1" si="2">_xlfn.FORMULATEXT(K25)</f>
        <v>=G9</v>
      </c>
      <c r="M25" s="11" t="s">
        <v>80</v>
      </c>
      <c r="P25" s="53">
        <v>45412</v>
      </c>
      <c r="Q25" s="41">
        <v>18970.599609375</v>
      </c>
      <c r="R25" s="41">
        <v>1628.58642578125</v>
      </c>
      <c r="S25" s="41">
        <f t="shared" si="0"/>
        <v>-6.6136796373511613E-3</v>
      </c>
      <c r="T25" s="41">
        <f t="shared" si="0"/>
        <v>5.1604451360496269E-3</v>
      </c>
    </row>
    <row r="26" spans="1:20" ht="14.4">
      <c r="A26" s="3"/>
      <c r="B26" s="7" t="s">
        <v>81</v>
      </c>
      <c r="C26" s="10">
        <v>23997.18</v>
      </c>
      <c r="D26" s="3" t="s">
        <v>16</v>
      </c>
      <c r="E26" s="3"/>
      <c r="F26" s="7" t="s">
        <v>82</v>
      </c>
      <c r="G26" s="8" t="s">
        <v>19</v>
      </c>
      <c r="H26" s="3"/>
      <c r="I26" s="3"/>
      <c r="J26" s="3" t="s">
        <v>83</v>
      </c>
      <c r="K26" s="21">
        <f>G14+G15+G17</f>
        <v>6643.47</v>
      </c>
      <c r="L26" s="11" t="str">
        <f t="shared" ca="1" si="2"/>
        <v>=G14+G15+G17</v>
      </c>
      <c r="M26" s="11" t="s">
        <v>84</v>
      </c>
      <c r="P26" s="53">
        <v>45414</v>
      </c>
      <c r="Q26" s="41">
        <v>19124.44921875</v>
      </c>
      <c r="R26" s="41">
        <v>1630.31811523437</v>
      </c>
      <c r="S26" s="41">
        <f t="shared" si="0"/>
        <v>8.1098970271329604E-3</v>
      </c>
      <c r="T26" s="41">
        <f t="shared" si="0"/>
        <v>1.0633082934418344E-3</v>
      </c>
    </row>
    <row r="27" spans="1:20" ht="14.4">
      <c r="A27" s="3"/>
      <c r="B27" s="7" t="s">
        <v>85</v>
      </c>
      <c r="C27" s="8" t="s">
        <v>19</v>
      </c>
      <c r="D27" s="3" t="s">
        <v>16</v>
      </c>
      <c r="E27" s="3"/>
      <c r="F27" s="7" t="s">
        <v>86</v>
      </c>
      <c r="G27" s="8">
        <v>633.85</v>
      </c>
      <c r="H27" s="3"/>
      <c r="I27" s="3"/>
      <c r="J27" s="3" t="s">
        <v>87</v>
      </c>
      <c r="K27" s="21">
        <f>K25-K26</f>
        <v>13012.869999999999</v>
      </c>
      <c r="L27" s="11" t="str">
        <f ca="1">_xlfn.FORMULATEXT(K27)</f>
        <v>=K25-K26</v>
      </c>
      <c r="M27" s="11" t="s">
        <v>88</v>
      </c>
      <c r="P27" s="53">
        <v>45415</v>
      </c>
      <c r="Q27" s="41">
        <v>19133.400390625</v>
      </c>
      <c r="R27" s="41">
        <v>1637.34338378906</v>
      </c>
      <c r="S27" s="41">
        <f t="shared" si="0"/>
        <v>4.6804861006005281E-4</v>
      </c>
      <c r="T27" s="41">
        <f t="shared" si="0"/>
        <v>4.3091397249671532E-3</v>
      </c>
    </row>
    <row r="28" spans="1:20" ht="14.4">
      <c r="A28" s="3"/>
      <c r="B28" s="7" t="s">
        <v>89</v>
      </c>
      <c r="C28" s="8" t="s">
        <v>19</v>
      </c>
      <c r="D28" s="3" t="s">
        <v>16</v>
      </c>
      <c r="E28" s="3"/>
      <c r="F28" s="7" t="s">
        <v>90</v>
      </c>
      <c r="G28" s="8">
        <v>0</v>
      </c>
      <c r="H28" s="3"/>
      <c r="I28" s="3"/>
      <c r="J28" s="3" t="s">
        <v>91</v>
      </c>
      <c r="K28" s="21">
        <f>G25+G19</f>
        <v>2733.88</v>
      </c>
      <c r="L28" s="11" t="str">
        <f ca="1">_xlfn.FORMULATEXT(K28)</f>
        <v>=G25+G19</v>
      </c>
      <c r="M28" s="11" t="s">
        <v>92</v>
      </c>
      <c r="P28" s="53">
        <v>45418</v>
      </c>
      <c r="Q28" s="41">
        <v>19203.30078125</v>
      </c>
      <c r="R28" s="41">
        <v>1661.98156738281</v>
      </c>
      <c r="S28" s="41">
        <f t="shared" si="0"/>
        <v>3.6533177165544422E-3</v>
      </c>
      <c r="T28" s="41">
        <f t="shared" si="0"/>
        <v>1.5047658199059942E-2</v>
      </c>
    </row>
    <row r="29" spans="1:20" ht="14.4">
      <c r="A29" s="3"/>
      <c r="B29" s="7" t="s">
        <v>93</v>
      </c>
      <c r="C29" s="10">
        <v>4898.55</v>
      </c>
      <c r="D29" s="3" t="s">
        <v>16</v>
      </c>
      <c r="E29" s="3"/>
      <c r="F29" s="7" t="s">
        <v>94</v>
      </c>
      <c r="G29" s="8">
        <v>-147.15</v>
      </c>
      <c r="H29" s="3"/>
      <c r="I29" s="3"/>
      <c r="J29" s="3" t="s">
        <v>95</v>
      </c>
      <c r="K29" s="21">
        <f>G25</f>
        <v>2422.27</v>
      </c>
      <c r="L29" s="11" t="str">
        <f ca="1">_xlfn.FORMULATEXT(K29)</f>
        <v>=G25</v>
      </c>
      <c r="M29" s="11" t="s">
        <v>96</v>
      </c>
      <c r="P29" s="53">
        <v>45419</v>
      </c>
      <c r="Q29" s="41">
        <v>18846.30078125</v>
      </c>
      <c r="R29" s="41">
        <v>1593.65783691406</v>
      </c>
      <c r="S29" s="41">
        <f t="shared" si="0"/>
        <v>-1.8590553992081031E-2</v>
      </c>
      <c r="T29" s="41">
        <f t="shared" si="0"/>
        <v>-4.1109800379039198E-2</v>
      </c>
    </row>
    <row r="30" spans="1:20" ht="14.4">
      <c r="A30" s="3"/>
      <c r="B30" s="7" t="s">
        <v>97</v>
      </c>
      <c r="C30" s="10">
        <v>1654.71</v>
      </c>
      <c r="D30" s="3" t="s">
        <v>16</v>
      </c>
      <c r="E30" s="3"/>
      <c r="F30" s="7" t="s">
        <v>98</v>
      </c>
      <c r="G30" s="8">
        <v>0</v>
      </c>
      <c r="H30" s="3"/>
      <c r="I30" s="3"/>
      <c r="P30" s="53">
        <v>45420</v>
      </c>
      <c r="Q30" s="41">
        <v>18850.849609375</v>
      </c>
      <c r="R30" s="41">
        <v>1599.1494140625</v>
      </c>
      <c r="S30" s="41">
        <f t="shared" si="0"/>
        <v>2.4136450849418601E-4</v>
      </c>
      <c r="T30" s="41">
        <f t="shared" si="0"/>
        <v>3.4458947342635516E-3</v>
      </c>
    </row>
    <row r="31" spans="1:20" ht="14.4">
      <c r="A31" s="3"/>
      <c r="B31" s="7" t="s">
        <v>99</v>
      </c>
      <c r="C31" s="8">
        <v>595.66999999999996</v>
      </c>
      <c r="D31" s="3" t="s">
        <v>16</v>
      </c>
      <c r="E31" s="3"/>
      <c r="F31" s="7" t="s">
        <v>100</v>
      </c>
      <c r="G31" s="8">
        <v>486.7</v>
      </c>
      <c r="H31" s="3"/>
      <c r="I31" s="3"/>
      <c r="J31" s="25" t="s">
        <v>11</v>
      </c>
      <c r="K31">
        <f>'LUPIN Beta Calc'!H7</f>
        <v>1.2904087908222401</v>
      </c>
      <c r="P31" s="53">
        <v>45421</v>
      </c>
      <c r="Q31" s="41">
        <v>18437.05078125</v>
      </c>
      <c r="R31" s="41">
        <v>1567.28820800781</v>
      </c>
      <c r="S31" s="41">
        <f t="shared" si="0"/>
        <v>-2.1951203086316463E-2</v>
      </c>
      <c r="T31" s="41">
        <f t="shared" si="0"/>
        <v>-1.9923845623498918E-2</v>
      </c>
    </row>
    <row r="32" spans="1:20" ht="14.4">
      <c r="A32" s="3"/>
      <c r="B32" s="7" t="s">
        <v>101</v>
      </c>
      <c r="C32" s="10">
        <v>7325.79</v>
      </c>
      <c r="D32" s="3" t="s">
        <v>16</v>
      </c>
      <c r="E32" s="3"/>
      <c r="F32" s="7" t="s">
        <v>102</v>
      </c>
      <c r="G32" s="10">
        <v>1935.57</v>
      </c>
      <c r="H32" s="21"/>
      <c r="I32" s="21"/>
      <c r="J32" s="25" t="s">
        <v>103</v>
      </c>
      <c r="K32">
        <f>'LUPIN Beta Calc'!H10*252</f>
        <v>0.11078640540451196</v>
      </c>
      <c r="P32" s="53">
        <v>45422</v>
      </c>
      <c r="Q32" s="41">
        <v>18609.44921875</v>
      </c>
      <c r="R32" s="41">
        <v>1591.62939453125</v>
      </c>
      <c r="S32" s="41">
        <f t="shared" si="0"/>
        <v>9.3506515518916242E-3</v>
      </c>
      <c r="T32" s="41">
        <f t="shared" si="0"/>
        <v>1.5530766070383594E-2</v>
      </c>
    </row>
    <row r="33" spans="1:20" ht="14.4">
      <c r="A33" s="3"/>
      <c r="B33" s="7" t="s">
        <v>104</v>
      </c>
      <c r="C33" s="8">
        <v>227.7</v>
      </c>
      <c r="D33" s="3" t="s">
        <v>16</v>
      </c>
      <c r="E33" s="3"/>
      <c r="F33" s="7" t="s">
        <v>105</v>
      </c>
      <c r="G33" s="10">
        <v>1935.57</v>
      </c>
      <c r="H33" s="21"/>
      <c r="I33" s="21"/>
      <c r="J33" s="25" t="s">
        <v>106</v>
      </c>
      <c r="K33" s="25">
        <f>6.7/100</f>
        <v>6.7000000000000004E-2</v>
      </c>
      <c r="L33" s="22" t="s">
        <v>107</v>
      </c>
      <c r="M33" s="22" t="s">
        <v>108</v>
      </c>
      <c r="P33" s="53">
        <v>45425</v>
      </c>
      <c r="Q33" s="41">
        <v>18939</v>
      </c>
      <c r="R33" s="41">
        <v>1670.83740234375</v>
      </c>
      <c r="S33" s="41">
        <f t="shared" si="0"/>
        <v>1.7708787475448774E-2</v>
      </c>
      <c r="T33" s="41">
        <f t="shared" si="0"/>
        <v>4.9765358747868256E-2</v>
      </c>
    </row>
    <row r="34" spans="1:20" ht="14.4">
      <c r="A34" s="3"/>
      <c r="B34" s="7" t="s">
        <v>109</v>
      </c>
      <c r="C34" s="8">
        <v>302.52999999999997</v>
      </c>
      <c r="D34" s="3" t="s">
        <v>16</v>
      </c>
      <c r="E34" s="3"/>
      <c r="F34" s="7" t="s">
        <v>110</v>
      </c>
      <c r="G34" s="10">
        <v>1935.57</v>
      </c>
      <c r="H34" s="21"/>
      <c r="I34" s="21"/>
      <c r="P34" s="53">
        <v>45426</v>
      </c>
      <c r="Q34" s="41">
        <v>18860.849609375</v>
      </c>
      <c r="R34" s="41">
        <v>1619.92858886718</v>
      </c>
      <c r="S34" s="41">
        <f t="shared" si="0"/>
        <v>-4.1264264546702571E-3</v>
      </c>
      <c r="T34" s="41">
        <f t="shared" si="0"/>
        <v>-3.0469041095894902E-2</v>
      </c>
    </row>
    <row r="35" spans="1:20" ht="14.4">
      <c r="A35" s="3"/>
      <c r="B35" s="7" t="s">
        <v>111</v>
      </c>
      <c r="C35" s="8">
        <v>3.57</v>
      </c>
      <c r="D35" s="3" t="s">
        <v>16</v>
      </c>
      <c r="E35" s="3"/>
      <c r="F35" s="7" t="s">
        <v>33</v>
      </c>
      <c r="G35" s="8">
        <v>-21.09</v>
      </c>
      <c r="H35" s="3"/>
      <c r="I35" s="3"/>
      <c r="P35" s="53">
        <v>45427</v>
      </c>
      <c r="Q35" s="41">
        <v>18886.55078125</v>
      </c>
      <c r="R35" s="41">
        <v>1621.85803222656</v>
      </c>
      <c r="S35" s="41">
        <f t="shared" si="0"/>
        <v>1.3626730718548829E-3</v>
      </c>
      <c r="T35" s="41">
        <f t="shared" si="0"/>
        <v>1.1910669227272954E-3</v>
      </c>
    </row>
    <row r="36" spans="1:20" ht="14.4">
      <c r="A36" s="3"/>
      <c r="B36" s="7" t="s">
        <v>112</v>
      </c>
      <c r="C36" s="8">
        <v>364.9</v>
      </c>
      <c r="D36" s="3" t="s">
        <v>16</v>
      </c>
      <c r="E36" s="3"/>
      <c r="F36" s="7" t="s">
        <v>113</v>
      </c>
      <c r="G36" s="10">
        <v>1914.48</v>
      </c>
      <c r="H36" s="21"/>
      <c r="I36" s="21"/>
      <c r="P36" s="53">
        <v>45428</v>
      </c>
      <c r="Q36" s="41">
        <v>18996.150390625</v>
      </c>
      <c r="R36" s="41">
        <v>1645.45715332031</v>
      </c>
      <c r="S36" s="41">
        <f t="shared" si="0"/>
        <v>5.8030505752171115E-3</v>
      </c>
      <c r="T36" s="41">
        <f t="shared" si="0"/>
        <v>1.4550670049308854E-2</v>
      </c>
    </row>
    <row r="37" spans="1:20" ht="14.4">
      <c r="A37" s="3"/>
      <c r="B37" s="7" t="s">
        <v>114</v>
      </c>
      <c r="C37" s="10">
        <v>10549.53</v>
      </c>
      <c r="D37" s="3" t="s">
        <v>16</v>
      </c>
      <c r="E37" s="3"/>
      <c r="F37" s="7" t="s">
        <v>115</v>
      </c>
      <c r="G37" s="8" t="s">
        <v>19</v>
      </c>
      <c r="H37" s="3"/>
      <c r="I37" s="3"/>
      <c r="P37" s="53">
        <v>45429</v>
      </c>
      <c r="Q37" s="41">
        <v>18981.599609375</v>
      </c>
      <c r="R37" s="41">
        <v>1634.37487792968</v>
      </c>
      <c r="S37" s="41">
        <f t="shared" si="0"/>
        <v>-7.6598578926713055E-4</v>
      </c>
      <c r="T37" s="41">
        <f t="shared" si="0"/>
        <v>-6.7350738171865912E-3</v>
      </c>
    </row>
    <row r="38" spans="1:20" ht="14.4">
      <c r="A38" s="3"/>
      <c r="B38" s="7" t="s">
        <v>116</v>
      </c>
      <c r="C38" s="8" t="s">
        <v>19</v>
      </c>
      <c r="D38" s="3" t="s">
        <v>16</v>
      </c>
      <c r="E38" s="3"/>
      <c r="F38" s="7" t="s">
        <v>117</v>
      </c>
      <c r="G38" s="8" t="s">
        <v>19</v>
      </c>
      <c r="H38" s="3"/>
      <c r="I38" s="3"/>
      <c r="P38" s="53">
        <v>45433</v>
      </c>
      <c r="Q38" s="41">
        <v>19205.19921875</v>
      </c>
      <c r="R38" s="41">
        <v>1666.13720703125</v>
      </c>
      <c r="S38" s="41">
        <f t="shared" si="0"/>
        <v>1.17798085502006E-2</v>
      </c>
      <c r="T38" s="41">
        <f t="shared" si="0"/>
        <v>1.9433931303327705E-2</v>
      </c>
    </row>
    <row r="39" spans="1:20" ht="14.4">
      <c r="A39" s="3"/>
      <c r="B39" s="7" t="s">
        <v>118</v>
      </c>
      <c r="C39" s="8">
        <v>846.93</v>
      </c>
      <c r="D39" s="3" t="s">
        <v>16</v>
      </c>
      <c r="E39" s="3"/>
      <c r="F39" s="7" t="s">
        <v>119</v>
      </c>
      <c r="G39" s="8">
        <v>42</v>
      </c>
      <c r="H39" s="3"/>
      <c r="I39" s="3"/>
      <c r="P39" s="53">
        <v>45434</v>
      </c>
      <c r="Q39" s="41">
        <v>19317.400390625</v>
      </c>
      <c r="R39" s="41">
        <v>1697.75122070312</v>
      </c>
      <c r="S39" s="41">
        <f t="shared" si="0"/>
        <v>5.842229002522307E-3</v>
      </c>
      <c r="T39" s="41">
        <f t="shared" si="0"/>
        <v>1.897443592187726E-2</v>
      </c>
    </row>
    <row r="40" spans="1:20" ht="14.4">
      <c r="A40" s="3"/>
      <c r="B40" s="7" t="s">
        <v>120</v>
      </c>
      <c r="C40" s="10">
        <v>4953.8999999999996</v>
      </c>
      <c r="D40" s="3" t="s">
        <v>16</v>
      </c>
      <c r="E40" s="3"/>
      <c r="F40" s="7" t="s">
        <v>121</v>
      </c>
      <c r="G40" s="8">
        <v>42</v>
      </c>
      <c r="H40" s="3"/>
      <c r="I40" s="3"/>
      <c r="P40" s="53">
        <v>45435</v>
      </c>
      <c r="Q40" s="41">
        <v>19216.349609375</v>
      </c>
      <c r="R40" s="41">
        <v>1615.47583007812</v>
      </c>
      <c r="S40" s="41">
        <f t="shared" si="0"/>
        <v>-5.2310755695182121E-3</v>
      </c>
      <c r="T40" s="41">
        <f t="shared" si="0"/>
        <v>-4.8461393884862487E-2</v>
      </c>
    </row>
    <row r="41" spans="1:20" ht="14.4">
      <c r="A41" s="3"/>
      <c r="B41" s="7" t="s">
        <v>122</v>
      </c>
      <c r="C41" s="10">
        <v>4692.05</v>
      </c>
      <c r="D41" s="3" t="s">
        <v>16</v>
      </c>
      <c r="E41" s="3"/>
      <c r="F41" s="7" t="s">
        <v>123</v>
      </c>
      <c r="G41" s="8" t="s">
        <v>19</v>
      </c>
      <c r="H41" s="3"/>
      <c r="I41" s="3"/>
      <c r="P41" s="53">
        <v>45436</v>
      </c>
      <c r="Q41" s="41">
        <v>19119.5</v>
      </c>
      <c r="R41" s="41">
        <v>1597.36840820312</v>
      </c>
      <c r="S41" s="41">
        <f t="shared" si="0"/>
        <v>-5.0399587509456214E-3</v>
      </c>
      <c r="T41" s="41">
        <f t="shared" si="0"/>
        <v>-1.1208723484352208E-2</v>
      </c>
    </row>
    <row r="42" spans="1:20" ht="14.4">
      <c r="A42" s="3"/>
      <c r="B42" s="7" t="s">
        <v>124</v>
      </c>
      <c r="C42" s="10">
        <v>1202.54</v>
      </c>
      <c r="D42" s="3" t="s">
        <v>16</v>
      </c>
      <c r="E42" s="3"/>
      <c r="F42" s="7" t="s">
        <v>125</v>
      </c>
      <c r="G42" s="8">
        <v>182.03</v>
      </c>
      <c r="H42" s="3"/>
      <c r="I42" s="3"/>
      <c r="P42" s="53">
        <v>45439</v>
      </c>
      <c r="Q42" s="41">
        <v>19111.94921875</v>
      </c>
      <c r="R42" s="41">
        <v>1599.09997558593</v>
      </c>
      <c r="S42" s="41">
        <f t="shared" si="0"/>
        <v>-3.9492566489709459E-4</v>
      </c>
      <c r="T42" s="41">
        <f t="shared" si="0"/>
        <v>1.0840125383209747E-3</v>
      </c>
    </row>
    <row r="43" spans="1:20" ht="14.4">
      <c r="A43" s="3"/>
      <c r="B43" s="7" t="s">
        <v>126</v>
      </c>
      <c r="C43" s="8">
        <v>2.58</v>
      </c>
      <c r="D43" s="3" t="s">
        <v>16</v>
      </c>
      <c r="E43" s="3"/>
      <c r="F43" s="7" t="s">
        <v>127</v>
      </c>
      <c r="G43" s="8">
        <v>0</v>
      </c>
      <c r="H43" s="3"/>
      <c r="I43" s="3"/>
      <c r="P43" s="53">
        <v>45440</v>
      </c>
      <c r="Q43" s="41">
        <v>19215.75</v>
      </c>
      <c r="R43" s="41">
        <v>1586.5830078125</v>
      </c>
      <c r="S43" s="41">
        <f t="shared" si="0"/>
        <v>5.4311980458887485E-3</v>
      </c>
      <c r="T43" s="41">
        <f t="shared" si="0"/>
        <v>-7.8275079510545451E-3</v>
      </c>
    </row>
    <row r="44" spans="1:20" ht="14.4">
      <c r="A44" s="3"/>
      <c r="B44" s="7" t="s">
        <v>128</v>
      </c>
      <c r="C44" s="10">
        <v>1749.65</v>
      </c>
      <c r="D44" s="3" t="s">
        <v>16</v>
      </c>
      <c r="E44" s="3"/>
      <c r="F44" s="3"/>
      <c r="G44" s="3"/>
      <c r="H44" s="3"/>
      <c r="I44" s="3"/>
      <c r="P44" s="53">
        <v>45441</v>
      </c>
      <c r="Q44" s="41">
        <v>19321.349609375</v>
      </c>
      <c r="R44" s="41">
        <v>1584.60400390625</v>
      </c>
      <c r="S44" s="41">
        <f t="shared" si="0"/>
        <v>5.4954716508593213E-3</v>
      </c>
      <c r="T44" s="41">
        <f t="shared" si="0"/>
        <v>-1.2473371367934603E-3</v>
      </c>
    </row>
    <row r="45" spans="1:20" ht="14.4">
      <c r="A45" s="3"/>
      <c r="B45" s="7" t="s">
        <v>129</v>
      </c>
      <c r="C45" s="10">
        <v>13447.65</v>
      </c>
      <c r="D45" s="3" t="s">
        <v>16</v>
      </c>
      <c r="E45" s="3"/>
      <c r="F45" s="3"/>
      <c r="G45" s="3"/>
      <c r="H45" s="3"/>
      <c r="I45" s="3"/>
      <c r="P45" s="53">
        <v>45442</v>
      </c>
      <c r="Q45" s="41">
        <v>18971</v>
      </c>
      <c r="R45" s="41">
        <v>1562.78601074218</v>
      </c>
      <c r="S45" s="41">
        <f t="shared" si="0"/>
        <v>-1.8132771077492706E-2</v>
      </c>
      <c r="T45" s="41">
        <f t="shared" si="0"/>
        <v>-1.3768735349832438E-2</v>
      </c>
    </row>
    <row r="46" spans="1:20" ht="14.4">
      <c r="A46" s="3"/>
      <c r="B46" s="7" t="s">
        <v>130</v>
      </c>
      <c r="C46" s="10">
        <v>23997.18</v>
      </c>
      <c r="D46" s="3" t="s">
        <v>16</v>
      </c>
      <c r="E46" s="3"/>
      <c r="F46" s="3"/>
      <c r="G46" s="3"/>
      <c r="H46" s="3"/>
      <c r="I46" s="3"/>
      <c r="P46" s="53">
        <v>45443</v>
      </c>
      <c r="Q46" s="41">
        <v>18796.30078125</v>
      </c>
      <c r="R46" s="41">
        <v>1565.90295410156</v>
      </c>
      <c r="S46" s="41">
        <f t="shared" si="0"/>
        <v>-9.2087511860207694E-3</v>
      </c>
      <c r="T46" s="41">
        <f t="shared" si="0"/>
        <v>1.9944786669159778E-3</v>
      </c>
    </row>
    <row r="47" spans="1:20" ht="14.4">
      <c r="A47" s="3"/>
      <c r="B47" s="7" t="s">
        <v>115</v>
      </c>
      <c r="C47" s="8" t="s">
        <v>19</v>
      </c>
      <c r="D47" s="3" t="s">
        <v>16</v>
      </c>
      <c r="E47" s="3"/>
      <c r="F47" s="3"/>
      <c r="G47" s="3"/>
      <c r="H47" s="3"/>
      <c r="I47" s="3"/>
      <c r="P47" s="53">
        <v>45446</v>
      </c>
      <c r="Q47" s="41">
        <v>18864.150390625</v>
      </c>
      <c r="R47" s="41">
        <v>1567.28820800781</v>
      </c>
      <c r="S47" s="41">
        <f t="shared" si="0"/>
        <v>3.6097320512492796E-3</v>
      </c>
      <c r="T47" s="41">
        <f t="shared" si="0"/>
        <v>8.8463585985428591E-4</v>
      </c>
    </row>
    <row r="48" spans="1:20" ht="14.4">
      <c r="A48" s="3"/>
      <c r="B48" s="7" t="s">
        <v>131</v>
      </c>
      <c r="C48" s="8" t="s">
        <v>19</v>
      </c>
      <c r="D48" s="3" t="s">
        <v>16</v>
      </c>
      <c r="E48" s="3"/>
      <c r="F48" s="3"/>
      <c r="G48" s="3"/>
      <c r="H48" s="3"/>
      <c r="I48" s="3"/>
      <c r="P48" s="53">
        <v>45447</v>
      </c>
      <c r="Q48" s="41">
        <v>18603.150390625</v>
      </c>
      <c r="R48" s="41">
        <v>1548.29016113281</v>
      </c>
      <c r="S48" s="41">
        <f t="shared" si="0"/>
        <v>-1.3835767558856524E-2</v>
      </c>
      <c r="T48" s="41">
        <f t="shared" si="0"/>
        <v>-1.2121603913008788E-2</v>
      </c>
    </row>
    <row r="49" spans="1:20" ht="14.4">
      <c r="A49" s="3"/>
      <c r="B49" s="7" t="s">
        <v>132</v>
      </c>
      <c r="C49" s="10">
        <v>1148.5899999999999</v>
      </c>
      <c r="D49" s="3" t="s">
        <v>16</v>
      </c>
      <c r="E49" s="3"/>
      <c r="F49" s="3"/>
      <c r="G49" s="3"/>
      <c r="H49" s="3"/>
      <c r="I49" s="3"/>
      <c r="P49" s="53">
        <v>45448</v>
      </c>
      <c r="Q49" s="41">
        <v>19281.25</v>
      </c>
      <c r="R49" s="41">
        <v>1613.34851074218</v>
      </c>
      <c r="S49" s="41">
        <f t="shared" si="0"/>
        <v>3.6450794362052043E-2</v>
      </c>
      <c r="T49" s="41">
        <f t="shared" si="0"/>
        <v>4.2019481388275381E-2</v>
      </c>
    </row>
    <row r="50" spans="1:20" ht="14.4">
      <c r="A50" s="3"/>
      <c r="B50" s="7" t="s">
        <v>133</v>
      </c>
      <c r="C50" s="8" t="s">
        <v>19</v>
      </c>
      <c r="D50" s="3" t="s">
        <v>16</v>
      </c>
      <c r="E50" s="3"/>
      <c r="F50" s="3"/>
      <c r="G50" s="3"/>
      <c r="H50" s="3"/>
      <c r="I50" s="3"/>
      <c r="P50" s="53">
        <v>45449</v>
      </c>
      <c r="Q50" s="41">
        <v>19232.099609375</v>
      </c>
      <c r="R50" s="41">
        <v>1590.34301757812</v>
      </c>
      <c r="S50" s="41">
        <f t="shared" si="0"/>
        <v>-2.5491288492706645E-3</v>
      </c>
      <c r="T50" s="41">
        <f t="shared" si="0"/>
        <v>-1.4259469055124926E-2</v>
      </c>
    </row>
    <row r="51" spans="1:20" ht="14.4">
      <c r="A51" s="3"/>
      <c r="B51" s="7" t="s">
        <v>134</v>
      </c>
      <c r="C51" s="8">
        <v>40.15</v>
      </c>
      <c r="D51" s="3" t="s">
        <v>16</v>
      </c>
      <c r="E51" s="3"/>
      <c r="F51" s="3"/>
      <c r="G51" s="3"/>
      <c r="H51" s="3"/>
      <c r="I51" s="3"/>
      <c r="P51" s="53">
        <v>45450</v>
      </c>
      <c r="Q51" s="41">
        <v>19578</v>
      </c>
      <c r="R51" s="41">
        <v>1612.40856933593</v>
      </c>
      <c r="S51" s="41">
        <f t="shared" si="0"/>
        <v>1.7985576075967558E-2</v>
      </c>
      <c r="T51" s="41">
        <f t="shared" si="0"/>
        <v>1.3874712256361452E-2</v>
      </c>
    </row>
    <row r="52" spans="1:20" ht="14.4">
      <c r="A52" s="3"/>
      <c r="B52" s="7" t="s">
        <v>135</v>
      </c>
      <c r="C52" s="8" t="s">
        <v>19</v>
      </c>
      <c r="D52" s="3" t="s">
        <v>16</v>
      </c>
      <c r="E52" s="3"/>
      <c r="F52" s="3"/>
      <c r="G52" s="3"/>
      <c r="H52" s="3"/>
      <c r="I52" s="3"/>
      <c r="P52" s="53">
        <v>45453</v>
      </c>
      <c r="Q52" s="41">
        <v>19774.69921875</v>
      </c>
      <c r="R52" s="41">
        <v>1616.96020507812</v>
      </c>
      <c r="S52" s="41">
        <f t="shared" si="0"/>
        <v>1.0046951616610482E-2</v>
      </c>
      <c r="T52" s="41">
        <f t="shared" si="0"/>
        <v>2.8228799007590185E-3</v>
      </c>
    </row>
    <row r="53" spans="1:20" ht="14.4">
      <c r="A53" s="3"/>
      <c r="B53" s="7" t="s">
        <v>136</v>
      </c>
      <c r="C53" s="8">
        <v>0</v>
      </c>
      <c r="D53" s="3" t="s">
        <v>16</v>
      </c>
      <c r="E53" s="3"/>
      <c r="F53" s="3"/>
      <c r="G53" s="3"/>
      <c r="H53" s="3"/>
      <c r="I53" s="3"/>
      <c r="P53" s="53">
        <v>45454</v>
      </c>
      <c r="Q53" s="41">
        <v>19689.69921875</v>
      </c>
      <c r="R53" s="41">
        <v>1597.07153320312</v>
      </c>
      <c r="S53" s="41">
        <f t="shared" si="0"/>
        <v>-4.2984218905036285E-3</v>
      </c>
      <c r="T53" s="41">
        <f t="shared" si="0"/>
        <v>-1.230003794313486E-2</v>
      </c>
    </row>
    <row r="54" spans="1:20" ht="14.4">
      <c r="A54" s="3"/>
      <c r="B54" s="7" t="s">
        <v>137</v>
      </c>
      <c r="C54" s="8">
        <v>200.79</v>
      </c>
      <c r="D54" s="3" t="s">
        <v>16</v>
      </c>
      <c r="E54" s="3"/>
      <c r="F54" s="3"/>
      <c r="G54" s="3"/>
      <c r="H54" s="3"/>
      <c r="I54" s="3"/>
      <c r="P54" s="53">
        <v>45455</v>
      </c>
      <c r="Q54" s="41">
        <v>19739.099609375</v>
      </c>
      <c r="R54" s="41">
        <v>1588.66101074218</v>
      </c>
      <c r="S54" s="41">
        <f t="shared" si="0"/>
        <v>2.5089459252865204E-3</v>
      </c>
      <c r="T54" s="41">
        <f t="shared" si="0"/>
        <v>-5.2662152484001029E-3</v>
      </c>
    </row>
    <row r="55" spans="1:20" ht="14.4">
      <c r="A55" s="3"/>
      <c r="B55" s="7" t="s">
        <v>138</v>
      </c>
      <c r="C55" s="8" t="s">
        <v>19</v>
      </c>
      <c r="D55" s="3" t="s">
        <v>16</v>
      </c>
      <c r="E55" s="3"/>
      <c r="F55" s="3"/>
      <c r="G55" s="3"/>
      <c r="H55" s="3"/>
      <c r="I55" s="3"/>
      <c r="P55" s="53">
        <v>45456</v>
      </c>
      <c r="Q55" s="41">
        <v>19838.5</v>
      </c>
      <c r="R55" s="41">
        <v>1588.56201171875</v>
      </c>
      <c r="S55" s="41">
        <f t="shared" si="0"/>
        <v>5.0357104727203573E-3</v>
      </c>
      <c r="T55" s="41">
        <f t="shared" si="0"/>
        <v>-6.2316015034413768E-5</v>
      </c>
    </row>
    <row r="56" spans="1:20" ht="14.4">
      <c r="A56" s="3"/>
      <c r="B56" s="7" t="s">
        <v>139</v>
      </c>
      <c r="C56" s="8">
        <v>0</v>
      </c>
      <c r="D56" s="3" t="s">
        <v>16</v>
      </c>
      <c r="E56" s="3"/>
      <c r="F56" s="3"/>
      <c r="G56" s="3"/>
      <c r="H56" s="3"/>
      <c r="I56" s="3"/>
      <c r="P56" s="53">
        <v>45457</v>
      </c>
      <c r="Q56" s="41">
        <v>19895.650390625</v>
      </c>
      <c r="R56" s="41">
        <v>1587.22619628906</v>
      </c>
      <c r="S56" s="41">
        <f t="shared" si="0"/>
        <v>2.8807818446455126E-3</v>
      </c>
      <c r="T56" s="41">
        <f t="shared" si="0"/>
        <v>-8.4089599262461979E-4</v>
      </c>
    </row>
    <row r="57" spans="1:20" ht="14.4">
      <c r="A57" s="3"/>
      <c r="B57" s="7" t="s">
        <v>140</v>
      </c>
      <c r="C57" s="8">
        <v>846.93</v>
      </c>
      <c r="D57" s="3" t="s">
        <v>16</v>
      </c>
      <c r="E57" s="3"/>
      <c r="F57" s="3"/>
      <c r="G57" s="3"/>
      <c r="H57" s="3"/>
      <c r="I57" s="3"/>
      <c r="P57" s="53">
        <v>45461</v>
      </c>
      <c r="Q57" s="41">
        <v>19826.650390625</v>
      </c>
      <c r="R57" s="41">
        <v>1564.814453125</v>
      </c>
      <c r="S57" s="41">
        <f t="shared" si="0"/>
        <v>-3.4680947164468364E-3</v>
      </c>
      <c r="T57" s="41">
        <f t="shared" si="0"/>
        <v>-1.4120068844918718E-2</v>
      </c>
    </row>
    <row r="58" spans="1:20" ht="14.4">
      <c r="P58" s="53">
        <v>45462</v>
      </c>
      <c r="Q58" s="41">
        <v>19644.5</v>
      </c>
      <c r="R58" s="41">
        <v>1555.7607421875</v>
      </c>
      <c r="S58" s="41">
        <f t="shared" si="0"/>
        <v>-9.1871489654717226E-3</v>
      </c>
      <c r="T58" s="41">
        <f t="shared" si="0"/>
        <v>-5.7858047766745505E-3</v>
      </c>
    </row>
    <row r="59" spans="1:20" ht="14.4">
      <c r="P59" s="53">
        <v>45463</v>
      </c>
      <c r="Q59" s="41">
        <v>19544.55078125</v>
      </c>
      <c r="R59" s="41">
        <v>1539.33532714843</v>
      </c>
      <c r="S59" s="41">
        <f t="shared" si="0"/>
        <v>-5.0878983303214642E-3</v>
      </c>
      <c r="T59" s="41">
        <f t="shared" si="0"/>
        <v>-1.0557802747982193E-2</v>
      </c>
    </row>
    <row r="60" spans="1:20" ht="15" customHeight="1">
      <c r="P60" s="53">
        <v>45464</v>
      </c>
      <c r="Q60" s="41">
        <v>19528.400390625</v>
      </c>
      <c r="R60" s="41">
        <v>1544.57958984375</v>
      </c>
      <c r="S60" s="41">
        <f t="shared" si="0"/>
        <v>-8.2633726432299601E-4</v>
      </c>
      <c r="T60" s="41">
        <f t="shared" si="0"/>
        <v>3.4068357964829109E-3</v>
      </c>
    </row>
    <row r="61" spans="1:20" ht="15" customHeight="1">
      <c r="P61" s="53">
        <v>45467</v>
      </c>
      <c r="Q61" s="41">
        <v>19521.150390625</v>
      </c>
      <c r="R61" s="41">
        <v>1550.26916503906</v>
      </c>
      <c r="S61" s="41">
        <f t="shared" si="0"/>
        <v>-3.7125416598281691E-4</v>
      </c>
      <c r="T61" s="41">
        <f t="shared" si="0"/>
        <v>3.6835752801094293E-3</v>
      </c>
    </row>
    <row r="62" spans="1:20" ht="15" customHeight="1">
      <c r="P62" s="53">
        <v>45468</v>
      </c>
      <c r="Q62" s="41">
        <v>19532.30078125</v>
      </c>
      <c r="R62" s="41">
        <v>1542.4521484375</v>
      </c>
      <c r="S62" s="41">
        <f t="shared" si="0"/>
        <v>5.7119536512330522E-4</v>
      </c>
      <c r="T62" s="41">
        <f t="shared" si="0"/>
        <v>-5.0423608866419301E-3</v>
      </c>
    </row>
    <row r="63" spans="1:20" ht="15" customHeight="1">
      <c r="P63" s="53">
        <v>45469</v>
      </c>
      <c r="Q63" s="41">
        <v>19545.349609375</v>
      </c>
      <c r="R63" s="41">
        <v>1566.99133300781</v>
      </c>
      <c r="S63" s="41">
        <f t="shared" si="0"/>
        <v>6.6806405815367134E-4</v>
      </c>
      <c r="T63" s="41">
        <f t="shared" si="0"/>
        <v>1.5909203144595527E-2</v>
      </c>
    </row>
    <row r="64" spans="1:20" ht="15" customHeight="1">
      <c r="P64" s="53">
        <v>45470</v>
      </c>
      <c r="Q64" s="41">
        <v>19514.80078125</v>
      </c>
      <c r="R64" s="41">
        <v>1566.74389648437</v>
      </c>
      <c r="S64" s="41">
        <f t="shared" si="0"/>
        <v>-1.5629716907364574E-3</v>
      </c>
      <c r="T64" s="41">
        <f t="shared" si="0"/>
        <v>-1.5790548309227174E-4</v>
      </c>
    </row>
    <row r="65" spans="16:20" ht="15" customHeight="1">
      <c r="P65" s="53">
        <v>45471</v>
      </c>
      <c r="Q65" s="41">
        <v>19731.55078125</v>
      </c>
      <c r="R65" s="41">
        <v>1604.29467773437</v>
      </c>
      <c r="S65" s="41">
        <f t="shared" si="0"/>
        <v>1.1106954276891998E-2</v>
      </c>
      <c r="T65" s="41">
        <f t="shared" si="0"/>
        <v>2.3967402288440708E-2</v>
      </c>
    </row>
    <row r="66" spans="16:20" ht="15" customHeight="1">
      <c r="P66" s="53">
        <v>45474</v>
      </c>
      <c r="Q66" s="41">
        <v>19758.25</v>
      </c>
      <c r="R66" s="41">
        <v>1599.05053710937</v>
      </c>
      <c r="S66" s="41">
        <f t="shared" si="0"/>
        <v>1.353123180534348E-3</v>
      </c>
      <c r="T66" s="41">
        <f t="shared" si="0"/>
        <v>-3.2688138268998825E-3</v>
      </c>
    </row>
    <row r="67" spans="16:20" ht="15" customHeight="1">
      <c r="P67" s="53">
        <v>45475</v>
      </c>
      <c r="Q67" s="41">
        <v>19786.400390625</v>
      </c>
      <c r="R67" s="41">
        <v>1615.62438964843</v>
      </c>
      <c r="S67" s="41">
        <f t="shared" si="0"/>
        <v>1.4247410891652854E-3</v>
      </c>
      <c r="T67" s="41">
        <f t="shared" si="0"/>
        <v>1.0364808462539793E-2</v>
      </c>
    </row>
    <row r="68" spans="16:20" ht="15" customHeight="1">
      <c r="P68" s="53">
        <v>45476</v>
      </c>
      <c r="Q68" s="41">
        <v>19915.30078125</v>
      </c>
      <c r="R68" s="41">
        <v>1613.44750976562</v>
      </c>
      <c r="S68" s="41">
        <f t="shared" si="0"/>
        <v>6.514595281619507E-3</v>
      </c>
      <c r="T68" s="41">
        <f t="shared" si="0"/>
        <v>-1.3473923126919999E-3</v>
      </c>
    </row>
    <row r="69" spans="16:20" ht="15" customHeight="1">
      <c r="P69" s="53">
        <v>45477</v>
      </c>
      <c r="Q69" s="41">
        <v>20192.599609375</v>
      </c>
      <c r="R69" s="41">
        <v>1740.79357910156</v>
      </c>
      <c r="S69" s="41">
        <f t="shared" si="0"/>
        <v>1.3923908615333255E-2</v>
      </c>
      <c r="T69" s="41">
        <f t="shared" si="0"/>
        <v>7.8927928281000675E-2</v>
      </c>
    </row>
    <row r="70" spans="16:20" ht="15" customHeight="1">
      <c r="P70" s="53">
        <v>45478</v>
      </c>
      <c r="Q70" s="41">
        <v>20453.849609375</v>
      </c>
      <c r="R70" s="41">
        <v>1751.57897949218</v>
      </c>
      <c r="S70" s="41">
        <f t="shared" si="0"/>
        <v>1.2937908196758732E-2</v>
      </c>
      <c r="T70" s="41">
        <f t="shared" si="0"/>
        <v>6.195680246124555E-3</v>
      </c>
    </row>
    <row r="71" spans="16:20" ht="15" customHeight="1">
      <c r="P71" s="53">
        <v>45481</v>
      </c>
      <c r="Q71" s="41">
        <v>20325.80078125</v>
      </c>
      <c r="R71" s="41">
        <v>1760.1875</v>
      </c>
      <c r="S71" s="41">
        <f t="shared" si="0"/>
        <v>-6.2603779029600844E-3</v>
      </c>
      <c r="T71" s="41">
        <f t="shared" si="0"/>
        <v>4.9147201517089432E-3</v>
      </c>
    </row>
    <row r="72" spans="16:20" ht="15" customHeight="1">
      <c r="P72" s="53">
        <v>45482</v>
      </c>
      <c r="Q72" s="41">
        <v>20645.80078125</v>
      </c>
      <c r="R72" s="41">
        <v>1795.66040039062</v>
      </c>
      <c r="S72" s="41">
        <f t="shared" ref="S72:T135" si="3">(Q72-Q71)/Q71</f>
        <v>1.5743537164606636E-2</v>
      </c>
      <c r="T72" s="41">
        <f t="shared" si="3"/>
        <v>2.0152910068171714E-2</v>
      </c>
    </row>
    <row r="73" spans="16:20" ht="15" customHeight="1">
      <c r="P73" s="53">
        <v>45483</v>
      </c>
      <c r="Q73" s="41">
        <v>20725.94921875</v>
      </c>
      <c r="R73" s="41">
        <v>1807.68249511718</v>
      </c>
      <c r="S73" s="41">
        <f t="shared" si="3"/>
        <v>3.8820696929706311E-3</v>
      </c>
      <c r="T73" s="41">
        <f t="shared" si="3"/>
        <v>6.6950826135859353E-3</v>
      </c>
    </row>
    <row r="74" spans="16:20" ht="15" customHeight="1">
      <c r="P74" s="53">
        <v>45484</v>
      </c>
      <c r="Q74" s="41">
        <v>20601.69921875</v>
      </c>
      <c r="R74" s="41">
        <v>1798.18347167968</v>
      </c>
      <c r="S74" s="41">
        <f t="shared" si="3"/>
        <v>-5.9949003391167061E-3</v>
      </c>
      <c r="T74" s="41">
        <f t="shared" si="3"/>
        <v>-5.2548074471917934E-3</v>
      </c>
    </row>
    <row r="75" spans="16:20" ht="15" customHeight="1">
      <c r="P75" s="53">
        <v>45485</v>
      </c>
      <c r="Q75" s="41">
        <v>20612.650390625</v>
      </c>
      <c r="R75" s="41">
        <v>1778.83923339843</v>
      </c>
      <c r="S75" s="41">
        <f t="shared" si="3"/>
        <v>5.3156643822045171E-4</v>
      </c>
      <c r="T75" s="41">
        <f t="shared" si="3"/>
        <v>-1.0757655481718215E-2</v>
      </c>
    </row>
    <row r="76" spans="16:20" ht="15" customHeight="1">
      <c r="P76" s="53">
        <v>45488</v>
      </c>
      <c r="Q76" s="41">
        <v>20844.55078125</v>
      </c>
      <c r="R76" s="41">
        <v>1813.47094726562</v>
      </c>
      <c r="S76" s="41">
        <f t="shared" si="3"/>
        <v>1.125039168812917E-2</v>
      </c>
      <c r="T76" s="41">
        <f t="shared" si="3"/>
        <v>1.9468714888319017E-2</v>
      </c>
    </row>
    <row r="77" spans="16:20" ht="15" customHeight="1">
      <c r="P77" s="53">
        <v>45489</v>
      </c>
      <c r="Q77" s="41">
        <v>20765.44921875</v>
      </c>
      <c r="R77" s="41">
        <v>1833.64562988281</v>
      </c>
      <c r="S77" s="41">
        <f t="shared" si="3"/>
        <v>-3.7948317202956034E-3</v>
      </c>
      <c r="T77" s="41">
        <f t="shared" si="3"/>
        <v>1.1124899821312111E-2</v>
      </c>
    </row>
    <row r="78" spans="16:20" ht="15" customHeight="1">
      <c r="P78" s="53">
        <v>45491</v>
      </c>
      <c r="Q78" s="41">
        <v>20768.349609375</v>
      </c>
      <c r="R78" s="41">
        <v>1806.01733398437</v>
      </c>
      <c r="S78" s="41">
        <f t="shared" si="3"/>
        <v>1.3967386857112221E-4</v>
      </c>
      <c r="T78" s="41">
        <f t="shared" si="3"/>
        <v>-1.5067412944018933E-2</v>
      </c>
    </row>
    <row r="79" spans="16:20" ht="15" customHeight="1">
      <c r="P79" s="53">
        <v>45492</v>
      </c>
      <c r="Q79" s="41">
        <v>20425.400390625</v>
      </c>
      <c r="R79" s="41">
        <v>1775.60656738281</v>
      </c>
      <c r="S79" s="41">
        <f t="shared" si="3"/>
        <v>-1.6513070378745453E-2</v>
      </c>
      <c r="T79" s="41">
        <f t="shared" si="3"/>
        <v>-1.6838579580224111E-2</v>
      </c>
    </row>
    <row r="80" spans="16:20" ht="15" customHeight="1">
      <c r="P80" s="53">
        <v>45495</v>
      </c>
      <c r="Q80" s="41">
        <v>20641.55078125</v>
      </c>
      <c r="R80" s="41">
        <v>1794.14123535156</v>
      </c>
      <c r="S80" s="41">
        <f t="shared" si="3"/>
        <v>1.0582431016833838E-2</v>
      </c>
      <c r="T80" s="41">
        <f t="shared" si="3"/>
        <v>1.0438499332692567E-2</v>
      </c>
    </row>
    <row r="81" spans="16:20" ht="15" customHeight="1">
      <c r="P81" s="53">
        <v>45496</v>
      </c>
      <c r="Q81" s="41">
        <v>20755.349609375</v>
      </c>
      <c r="R81" s="41">
        <v>1788.8740234375</v>
      </c>
      <c r="S81" s="41">
        <f t="shared" si="3"/>
        <v>5.5130948895744077E-3</v>
      </c>
      <c r="T81" s="41">
        <f t="shared" si="3"/>
        <v>-2.9357844356260473E-3</v>
      </c>
    </row>
    <row r="82" spans="16:20" ht="15" customHeight="1">
      <c r="P82" s="53">
        <v>45497</v>
      </c>
      <c r="Q82" s="41">
        <v>20908.5</v>
      </c>
      <c r="R82" s="41">
        <v>1804.42724609375</v>
      </c>
      <c r="S82" s="41">
        <f t="shared" si="3"/>
        <v>7.3788393598450096E-3</v>
      </c>
      <c r="T82" s="41">
        <f t="shared" si="3"/>
        <v>8.6944203182977246E-3</v>
      </c>
    </row>
    <row r="83" spans="16:20" ht="15" customHeight="1">
      <c r="P83" s="53">
        <v>45498</v>
      </c>
      <c r="Q83" s="41">
        <v>21105.5</v>
      </c>
      <c r="R83" s="41">
        <v>1789.22180175781</v>
      </c>
      <c r="S83" s="41">
        <f t="shared" si="3"/>
        <v>9.4220054045005622E-3</v>
      </c>
      <c r="T83" s="41">
        <f t="shared" si="3"/>
        <v>-8.4267428176209181E-3</v>
      </c>
    </row>
    <row r="84" spans="16:20" ht="15" customHeight="1">
      <c r="P84" s="53">
        <v>45499</v>
      </c>
      <c r="Q84" s="41">
        <v>21603.099609375</v>
      </c>
      <c r="R84" s="41">
        <v>1829.32238769531</v>
      </c>
      <c r="S84" s="41">
        <f t="shared" si="3"/>
        <v>2.3576774270924642E-2</v>
      </c>
      <c r="T84" s="41">
        <f t="shared" si="3"/>
        <v>2.2412305672836887E-2</v>
      </c>
    </row>
    <row r="85" spans="16:20" ht="15" customHeight="1">
      <c r="P85" s="53">
        <v>45502</v>
      </c>
      <c r="Q85" s="41">
        <v>21674.94921875</v>
      </c>
      <c r="R85" s="41">
        <v>1849.64599609375</v>
      </c>
      <c r="S85" s="41">
        <f t="shared" si="3"/>
        <v>3.3258935372320253E-3</v>
      </c>
      <c r="T85" s="41">
        <f t="shared" si="3"/>
        <v>1.1109910716199621E-2</v>
      </c>
    </row>
    <row r="86" spans="16:20" ht="15" customHeight="1">
      <c r="P86" s="53">
        <v>45503</v>
      </c>
      <c r="Q86" s="41">
        <v>21540.80078125</v>
      </c>
      <c r="R86" s="41">
        <v>1850.98767089843</v>
      </c>
      <c r="S86" s="41">
        <f t="shared" si="3"/>
        <v>-6.1891004286162002E-3</v>
      </c>
      <c r="T86" s="41">
        <f t="shared" si="3"/>
        <v>7.2536842591148099E-4</v>
      </c>
    </row>
    <row r="87" spans="16:20" ht="15" customHeight="1">
      <c r="P87" s="53">
        <v>45504</v>
      </c>
      <c r="Q87" s="41">
        <v>21777.150390625</v>
      </c>
      <c r="R87" s="41">
        <v>1900.03259277343</v>
      </c>
      <c r="S87" s="41">
        <f t="shared" si="3"/>
        <v>1.0972183057406503E-2</v>
      </c>
      <c r="T87" s="41">
        <f t="shared" si="3"/>
        <v>2.6496622665884446E-2</v>
      </c>
    </row>
    <row r="88" spans="16:20" ht="15" customHeight="1">
      <c r="P88" s="53">
        <v>45505</v>
      </c>
      <c r="Q88" s="41">
        <v>21790.349609375</v>
      </c>
      <c r="R88" s="41">
        <v>1941.27612304687</v>
      </c>
      <c r="S88" s="41">
        <f t="shared" si="3"/>
        <v>6.061040362600529E-4</v>
      </c>
      <c r="T88" s="41">
        <f t="shared" si="3"/>
        <v>2.1706748836996449E-2</v>
      </c>
    </row>
    <row r="89" spans="16:20" ht="15" customHeight="1">
      <c r="P89" s="53">
        <v>45506</v>
      </c>
      <c r="Q89" s="41">
        <v>21902.849609375</v>
      </c>
      <c r="R89" s="41">
        <v>1949.37573242187</v>
      </c>
      <c r="S89" s="41">
        <f t="shared" si="3"/>
        <v>5.1628359350231997E-3</v>
      </c>
      <c r="T89" s="41">
        <f t="shared" si="3"/>
        <v>4.172311851385422E-3</v>
      </c>
    </row>
    <row r="90" spans="16:20" ht="15" customHeight="1">
      <c r="P90" s="53">
        <v>45509</v>
      </c>
      <c r="Q90" s="41">
        <v>21583.05078125</v>
      </c>
      <c r="R90" s="41">
        <v>1936.20764160156</v>
      </c>
      <c r="S90" s="41">
        <f t="shared" si="3"/>
        <v>-1.4600786373847796E-2</v>
      </c>
      <c r="T90" s="41">
        <f t="shared" si="3"/>
        <v>-6.7550296237402089E-3</v>
      </c>
    </row>
    <row r="91" spans="16:20" ht="15" customHeight="1">
      <c r="P91" s="53">
        <v>45510</v>
      </c>
      <c r="Q91" s="41">
        <v>21562.55078125</v>
      </c>
      <c r="R91" s="41">
        <v>1898.939453125</v>
      </c>
      <c r="S91" s="41">
        <f t="shared" si="3"/>
        <v>-9.4981938409787337E-4</v>
      </c>
      <c r="T91" s="41">
        <f t="shared" si="3"/>
        <v>-1.9248032946369904E-2</v>
      </c>
    </row>
    <row r="92" spans="16:20" ht="15" customHeight="1">
      <c r="P92" s="53">
        <v>45511</v>
      </c>
      <c r="Q92" s="41">
        <v>22036.94921875</v>
      </c>
      <c r="R92" s="41">
        <v>1982.1220703125</v>
      </c>
      <c r="S92" s="41">
        <f t="shared" si="3"/>
        <v>2.2001035142489699E-2</v>
      </c>
      <c r="T92" s="41">
        <f t="shared" si="3"/>
        <v>4.3804775897730741E-2</v>
      </c>
    </row>
    <row r="93" spans="16:20" ht="15" customHeight="1">
      <c r="P93" s="53">
        <v>45512</v>
      </c>
      <c r="Q93" s="41">
        <v>22114.25</v>
      </c>
      <c r="R93" s="41">
        <v>2038.12377929687</v>
      </c>
      <c r="S93" s="41">
        <f t="shared" si="3"/>
        <v>3.5077805227335694E-3</v>
      </c>
      <c r="T93" s="41">
        <f t="shared" si="3"/>
        <v>2.825341073748339E-2</v>
      </c>
    </row>
    <row r="94" spans="16:20" ht="15" customHeight="1">
      <c r="P94" s="53">
        <v>45513</v>
      </c>
      <c r="Q94" s="41">
        <v>22209.55078125</v>
      </c>
      <c r="R94" s="41">
        <v>2100.48583984375</v>
      </c>
      <c r="S94" s="41">
        <f t="shared" si="3"/>
        <v>4.3094738121347096E-3</v>
      </c>
      <c r="T94" s="41">
        <f t="shared" si="3"/>
        <v>3.0597778790645493E-2</v>
      </c>
    </row>
    <row r="95" spans="16:20" ht="15" customHeight="1">
      <c r="P95" s="53">
        <v>45516</v>
      </c>
      <c r="Q95" s="41">
        <v>22205.599609375</v>
      </c>
      <c r="R95" s="41">
        <v>2084.63452148437</v>
      </c>
      <c r="S95" s="41">
        <f t="shared" si="3"/>
        <v>-1.7790417797804823E-4</v>
      </c>
      <c r="T95" s="41">
        <f t="shared" si="3"/>
        <v>-7.5465009374017693E-3</v>
      </c>
    </row>
    <row r="96" spans="16:20" ht="15" customHeight="1">
      <c r="P96" s="53">
        <v>45517</v>
      </c>
      <c r="Q96" s="41">
        <v>22191.599609375</v>
      </c>
      <c r="R96" s="41">
        <v>2084.68408203125</v>
      </c>
      <c r="S96" s="41">
        <f t="shared" si="3"/>
        <v>-6.304716038421826E-4</v>
      </c>
      <c r="T96" s="41">
        <f t="shared" si="3"/>
        <v>2.3774213834237233E-5</v>
      </c>
    </row>
    <row r="97" spans="16:20" ht="15" customHeight="1">
      <c r="P97" s="53">
        <v>45518</v>
      </c>
      <c r="Q97" s="41">
        <v>22012.69921875</v>
      </c>
      <c r="R97" s="41">
        <v>2061.13061523437</v>
      </c>
      <c r="S97" s="41">
        <f t="shared" si="3"/>
        <v>-8.061626641345054E-3</v>
      </c>
      <c r="T97" s="41">
        <f t="shared" si="3"/>
        <v>-1.1298338678698143E-2</v>
      </c>
    </row>
    <row r="98" spans="16:20" ht="15" customHeight="1">
      <c r="P98" s="53">
        <v>45520</v>
      </c>
      <c r="Q98" s="41">
        <v>22106.5</v>
      </c>
      <c r="R98" s="41">
        <v>2073.15600585937</v>
      </c>
      <c r="S98" s="41">
        <f t="shared" si="3"/>
        <v>4.2612121447651577E-3</v>
      </c>
      <c r="T98" s="41">
        <f t="shared" si="3"/>
        <v>5.834366117371266E-3</v>
      </c>
    </row>
    <row r="99" spans="16:20" ht="15" customHeight="1">
      <c r="P99" s="53">
        <v>45523</v>
      </c>
      <c r="Q99" s="41">
        <v>22237.849609375</v>
      </c>
      <c r="R99" s="41">
        <v>2056.01245117187</v>
      </c>
      <c r="S99" s="41">
        <f t="shared" si="3"/>
        <v>5.9416736876031937E-3</v>
      </c>
      <c r="T99" s="41">
        <f t="shared" si="3"/>
        <v>-8.2693027630564679E-3</v>
      </c>
    </row>
    <row r="100" spans="16:20" ht="15" customHeight="1">
      <c r="P100" s="53">
        <v>45524</v>
      </c>
      <c r="Q100" s="41">
        <v>22374.25</v>
      </c>
      <c r="R100" s="41">
        <v>2082.29907226562</v>
      </c>
      <c r="S100" s="41">
        <f t="shared" si="3"/>
        <v>6.1337041584945571E-3</v>
      </c>
      <c r="T100" s="41">
        <f t="shared" si="3"/>
        <v>1.2785244115991299E-2</v>
      </c>
    </row>
    <row r="101" spans="16:20" ht="15" customHeight="1">
      <c r="P101" s="53">
        <v>45525</v>
      </c>
      <c r="Q101" s="41">
        <v>22577.900390625</v>
      </c>
      <c r="R101" s="41">
        <v>2104.41137695312</v>
      </c>
      <c r="S101" s="41">
        <f t="shared" si="3"/>
        <v>9.1019985306770058E-3</v>
      </c>
      <c r="T101" s="41">
        <f t="shared" si="3"/>
        <v>1.0619178091185998E-2</v>
      </c>
    </row>
    <row r="102" spans="16:20" ht="15" customHeight="1">
      <c r="P102" s="53">
        <v>45526</v>
      </c>
      <c r="Q102" s="41">
        <v>22546.099609375</v>
      </c>
      <c r="R102" s="41">
        <v>2096.16284179687</v>
      </c>
      <c r="S102" s="41">
        <f t="shared" si="3"/>
        <v>-1.4084915204606275E-3</v>
      </c>
      <c r="T102" s="41">
        <f t="shared" si="3"/>
        <v>-3.9196400697057024E-3</v>
      </c>
    </row>
    <row r="103" spans="16:20" ht="15" customHeight="1">
      <c r="P103" s="53">
        <v>45527</v>
      </c>
      <c r="Q103" s="41">
        <v>22527.849609375</v>
      </c>
      <c r="R103" s="41">
        <v>2080.60961914062</v>
      </c>
      <c r="S103" s="41">
        <f t="shared" si="3"/>
        <v>-8.0945264663034584E-4</v>
      </c>
      <c r="T103" s="41">
        <f t="shared" si="3"/>
        <v>-7.4198541955440289E-3</v>
      </c>
    </row>
    <row r="104" spans="16:20" ht="15" customHeight="1">
      <c r="P104" s="53">
        <v>45530</v>
      </c>
      <c r="Q104" s="41">
        <v>22554.94921875</v>
      </c>
      <c r="R104" s="41">
        <v>2103.11938476562</v>
      </c>
      <c r="S104" s="41">
        <f t="shared" si="3"/>
        <v>1.2029381341272119E-3</v>
      </c>
      <c r="T104" s="41">
        <f t="shared" si="3"/>
        <v>1.0818831854818344E-2</v>
      </c>
    </row>
    <row r="105" spans="16:20" ht="15" customHeight="1">
      <c r="P105" s="53">
        <v>45531</v>
      </c>
      <c r="Q105" s="41">
        <v>22729</v>
      </c>
      <c r="R105" s="41">
        <v>2158.12744140625</v>
      </c>
      <c r="S105" s="41">
        <f t="shared" si="3"/>
        <v>7.7167445407197392E-3</v>
      </c>
      <c r="T105" s="41">
        <f t="shared" si="3"/>
        <v>2.6155460806976644E-2</v>
      </c>
    </row>
    <row r="106" spans="16:20" ht="15" customHeight="1">
      <c r="P106" s="53">
        <v>45532</v>
      </c>
      <c r="Q106" s="41">
        <v>22989.099609375</v>
      </c>
      <c r="R106" s="41">
        <v>2187.14697265625</v>
      </c>
      <c r="S106" s="41">
        <f t="shared" si="3"/>
        <v>1.1443513105503981E-2</v>
      </c>
      <c r="T106" s="41">
        <f t="shared" si="3"/>
        <v>1.3446625390709403E-2</v>
      </c>
    </row>
    <row r="107" spans="16:20" ht="15" customHeight="1">
      <c r="P107" s="53">
        <v>45533</v>
      </c>
      <c r="Q107" s="41">
        <v>22878.05078125</v>
      </c>
      <c r="R107" s="41">
        <v>2180.19018554687</v>
      </c>
      <c r="S107" s="41">
        <f t="shared" si="3"/>
        <v>-4.8304992371129693E-3</v>
      </c>
      <c r="T107" s="41">
        <f t="shared" si="3"/>
        <v>-3.1807588590770887E-3</v>
      </c>
    </row>
    <row r="108" spans="16:20" ht="15" customHeight="1">
      <c r="P108" s="53">
        <v>45534</v>
      </c>
      <c r="Q108" s="41">
        <v>23217.599609375</v>
      </c>
      <c r="R108" s="41">
        <v>2226.35302734375</v>
      </c>
      <c r="S108" s="41">
        <f t="shared" si="3"/>
        <v>1.4841685219235618E-2</v>
      </c>
      <c r="T108" s="41">
        <f t="shared" si="3"/>
        <v>2.1173768280816612E-2</v>
      </c>
    </row>
    <row r="109" spans="16:20" ht="15" customHeight="1">
      <c r="P109" s="53">
        <v>45537</v>
      </c>
      <c r="Q109" s="41">
        <v>22987.44921875</v>
      </c>
      <c r="R109" s="41">
        <v>2218.94921875</v>
      </c>
      <c r="S109" s="41">
        <f t="shared" si="3"/>
        <v>-9.9127556033858002E-3</v>
      </c>
      <c r="T109" s="41">
        <f t="shared" si="3"/>
        <v>-3.3255321608107427E-3</v>
      </c>
    </row>
    <row r="110" spans="16:20" ht="15" customHeight="1">
      <c r="P110" s="53">
        <v>45538</v>
      </c>
      <c r="Q110" s="41">
        <v>23014.30078125</v>
      </c>
      <c r="R110" s="41">
        <v>2226.40283203125</v>
      </c>
      <c r="S110" s="41">
        <f t="shared" si="3"/>
        <v>1.1680966532858369E-3</v>
      </c>
      <c r="T110" s="41">
        <f t="shared" si="3"/>
        <v>3.3590733930580177E-3</v>
      </c>
    </row>
    <row r="111" spans="16:20" ht="15" customHeight="1">
      <c r="P111" s="53">
        <v>45539</v>
      </c>
      <c r="Q111" s="41">
        <v>23184.400390625</v>
      </c>
      <c r="R111" s="41">
        <v>2263.17407226562</v>
      </c>
      <c r="S111" s="41">
        <f t="shared" si="3"/>
        <v>7.3910396406038975E-3</v>
      </c>
      <c r="T111" s="41">
        <f t="shared" si="3"/>
        <v>1.6515987001697218E-2</v>
      </c>
    </row>
    <row r="112" spans="16:20" ht="15" customHeight="1">
      <c r="P112" s="53">
        <v>45540</v>
      </c>
      <c r="Q112" s="41">
        <v>23156.69921875</v>
      </c>
      <c r="R112" s="41">
        <v>2276.0439453125</v>
      </c>
      <c r="S112" s="41">
        <f t="shared" si="3"/>
        <v>-1.1948194220369585E-3</v>
      </c>
      <c r="T112" s="41">
        <f t="shared" si="3"/>
        <v>5.6866474411295369E-3</v>
      </c>
    </row>
    <row r="113" spans="16:20" ht="15" customHeight="1">
      <c r="P113" s="53">
        <v>45541</v>
      </c>
      <c r="Q113" s="41">
        <v>23043.400390625</v>
      </c>
      <c r="R113" s="41">
        <v>2242.55224609375</v>
      </c>
      <c r="S113" s="41">
        <f t="shared" si="3"/>
        <v>-4.8927019803090867E-3</v>
      </c>
      <c r="T113" s="41">
        <f t="shared" si="3"/>
        <v>-1.4714873712225974E-2</v>
      </c>
    </row>
    <row r="114" spans="16:20" ht="15" customHeight="1">
      <c r="P114" s="53">
        <v>45544</v>
      </c>
      <c r="Q114" s="41">
        <v>23009.400390625</v>
      </c>
      <c r="R114" s="41">
        <v>2203.09765625</v>
      </c>
      <c r="S114" s="41">
        <f t="shared" si="3"/>
        <v>-1.4754766841543314E-3</v>
      </c>
      <c r="T114" s="41">
        <f t="shared" si="3"/>
        <v>-1.7593610098705633E-2</v>
      </c>
    </row>
    <row r="115" spans="16:20" ht="15" customHeight="1">
      <c r="P115" s="53">
        <v>45545</v>
      </c>
      <c r="Q115" s="41">
        <v>23256.849609375</v>
      </c>
      <c r="R115" s="41">
        <v>2208.81225585937</v>
      </c>
      <c r="S115" s="41">
        <f t="shared" si="3"/>
        <v>1.0754266280264359E-2</v>
      </c>
      <c r="T115" s="41">
        <f t="shared" si="3"/>
        <v>2.5938930093081288E-3</v>
      </c>
    </row>
    <row r="116" spans="16:20" ht="15" customHeight="1">
      <c r="P116" s="53">
        <v>45546</v>
      </c>
      <c r="Q116" s="41">
        <v>23220.400390625</v>
      </c>
      <c r="R116" s="41">
        <v>2195.74340820312</v>
      </c>
      <c r="S116" s="41">
        <f t="shared" si="3"/>
        <v>-1.5672466117382924E-3</v>
      </c>
      <c r="T116" s="41">
        <f t="shared" si="3"/>
        <v>-5.9166855949761912E-3</v>
      </c>
    </row>
    <row r="117" spans="16:20" ht="15" customHeight="1">
      <c r="P117" s="53">
        <v>45547</v>
      </c>
      <c r="Q117" s="41">
        <v>23429.599609375</v>
      </c>
      <c r="R117" s="41">
        <v>2233.60791015625</v>
      </c>
      <c r="S117" s="41">
        <f t="shared" si="3"/>
        <v>9.0092855950262615E-3</v>
      </c>
      <c r="T117" s="41">
        <f t="shared" si="3"/>
        <v>1.7244502163445547E-2</v>
      </c>
    </row>
    <row r="118" spans="16:20" ht="15" customHeight="1">
      <c r="P118" s="53">
        <v>45548</v>
      </c>
      <c r="Q118" s="41">
        <v>23457.650390625</v>
      </c>
      <c r="R118" s="41">
        <v>2242.50244140625</v>
      </c>
      <c r="S118" s="41">
        <f t="shared" si="3"/>
        <v>1.1972369019390286E-3</v>
      </c>
      <c r="T118" s="41">
        <f t="shared" si="3"/>
        <v>3.9821363496952301E-3</v>
      </c>
    </row>
    <row r="119" spans="16:20" ht="15" customHeight="1">
      <c r="P119" s="53">
        <v>45551</v>
      </c>
      <c r="Q119" s="41">
        <v>23448.75</v>
      </c>
      <c r="R119" s="41">
        <v>2237.93115234375</v>
      </c>
      <c r="S119" s="41">
        <f t="shared" si="3"/>
        <v>-3.7942379039620686E-4</v>
      </c>
      <c r="T119" s="41">
        <f t="shared" si="3"/>
        <v>-2.0384767383501228E-3</v>
      </c>
    </row>
    <row r="120" spans="16:20" ht="15" customHeight="1">
      <c r="P120" s="53">
        <v>45552</v>
      </c>
      <c r="Q120" s="41">
        <v>23383.650390625</v>
      </c>
      <c r="R120" s="41">
        <v>2256.3662109375</v>
      </c>
      <c r="S120" s="41">
        <f t="shared" si="3"/>
        <v>-2.7762507329815024E-3</v>
      </c>
      <c r="T120" s="41">
        <f t="shared" si="3"/>
        <v>8.2375450086760952E-3</v>
      </c>
    </row>
    <row r="121" spans="16:20" ht="15" customHeight="1">
      <c r="P121" s="53">
        <v>45553</v>
      </c>
      <c r="Q121" s="41">
        <v>23025.19921875</v>
      </c>
      <c r="R121" s="41">
        <v>2211.197265625</v>
      </c>
      <c r="S121" s="41">
        <f t="shared" si="3"/>
        <v>-1.5329136635514815E-2</v>
      </c>
      <c r="T121" s="41">
        <f t="shared" si="3"/>
        <v>-2.0018446072072985E-2</v>
      </c>
    </row>
    <row r="122" spans="16:20" ht="15" customHeight="1">
      <c r="P122" s="53">
        <v>45554</v>
      </c>
      <c r="Q122" s="41">
        <v>22930.150390625</v>
      </c>
      <c r="R122" s="41">
        <v>2158.47509765625</v>
      </c>
      <c r="S122" s="41">
        <f t="shared" si="3"/>
        <v>-4.1280349942683378E-3</v>
      </c>
      <c r="T122" s="41">
        <f t="shared" si="3"/>
        <v>-2.3843267531288286E-2</v>
      </c>
    </row>
    <row r="123" spans="16:20" ht="15" customHeight="1">
      <c r="P123" s="53">
        <v>45555</v>
      </c>
      <c r="Q123" s="41">
        <v>23005.25</v>
      </c>
      <c r="R123" s="41">
        <v>2138.40014648437</v>
      </c>
      <c r="S123" s="41">
        <f t="shared" si="3"/>
        <v>3.2751468305111729E-3</v>
      </c>
      <c r="T123" s="41">
        <f t="shared" si="3"/>
        <v>-9.3005247981216496E-3</v>
      </c>
    </row>
    <row r="124" spans="16:20" ht="15" customHeight="1">
      <c r="P124" s="53">
        <v>45558</v>
      </c>
      <c r="Q124" s="41">
        <v>23134.25</v>
      </c>
      <c r="R124" s="41">
        <v>2168.76123046875</v>
      </c>
      <c r="S124" s="41">
        <f t="shared" si="3"/>
        <v>5.6074156985905389E-3</v>
      </c>
      <c r="T124" s="41">
        <f t="shared" si="3"/>
        <v>1.4198036805363601E-2</v>
      </c>
    </row>
    <row r="125" spans="16:20" ht="15" customHeight="1">
      <c r="P125" s="53">
        <v>45559</v>
      </c>
      <c r="Q125" s="41">
        <v>23188.400390625</v>
      </c>
      <c r="R125" s="41">
        <v>2202.05419921875</v>
      </c>
      <c r="S125" s="41">
        <f t="shared" si="3"/>
        <v>2.3407022326204655E-3</v>
      </c>
      <c r="T125" s="41">
        <f t="shared" si="3"/>
        <v>1.5351145290809238E-2</v>
      </c>
    </row>
    <row r="126" spans="16:20" ht="15" customHeight="1">
      <c r="P126" s="53">
        <v>45560</v>
      </c>
      <c r="Q126" s="41">
        <v>23249</v>
      </c>
      <c r="R126" s="41">
        <v>2207.37109375</v>
      </c>
      <c r="S126" s="41">
        <f t="shared" si="3"/>
        <v>2.6133587636127001E-3</v>
      </c>
      <c r="T126" s="41">
        <f t="shared" si="3"/>
        <v>2.4145157431349059E-3</v>
      </c>
    </row>
    <row r="127" spans="16:20" ht="15" customHeight="1">
      <c r="P127" s="53">
        <v>45561</v>
      </c>
      <c r="Q127" s="41">
        <v>23250.900390625</v>
      </c>
      <c r="R127" s="41">
        <v>2174.62475585937</v>
      </c>
      <c r="S127" s="41">
        <f t="shared" si="3"/>
        <v>8.1740746913845755E-5</v>
      </c>
      <c r="T127" s="41">
        <f t="shared" si="3"/>
        <v>-1.4834994434487575E-2</v>
      </c>
    </row>
    <row r="128" spans="16:20" ht="15" customHeight="1">
      <c r="P128" s="53">
        <v>45562</v>
      </c>
      <c r="Q128" s="41">
        <v>23519.099609375</v>
      </c>
      <c r="R128" s="41">
        <v>2204.787109375</v>
      </c>
      <c r="S128" s="41">
        <f t="shared" si="3"/>
        <v>1.1535003558749951E-2</v>
      </c>
      <c r="T128" s="41">
        <f t="shared" si="3"/>
        <v>1.3870141703463878E-2</v>
      </c>
    </row>
    <row r="129" spans="16:20" ht="15" customHeight="1">
      <c r="P129" s="53">
        <v>45565</v>
      </c>
      <c r="Q129" s="41">
        <v>23281.19921875</v>
      </c>
      <c r="R129" s="41">
        <v>2177.556640625</v>
      </c>
      <c r="S129" s="41">
        <f t="shared" si="3"/>
        <v>-1.0115199755783594E-2</v>
      </c>
      <c r="T129" s="41">
        <f t="shared" si="3"/>
        <v>-1.2350611373865993E-2</v>
      </c>
    </row>
    <row r="130" spans="16:20" ht="15" customHeight="1">
      <c r="P130" s="53">
        <v>45566</v>
      </c>
      <c r="Q130" s="41">
        <v>23296.55078125</v>
      </c>
      <c r="R130" s="41">
        <v>2180.8359375</v>
      </c>
      <c r="S130" s="41">
        <f t="shared" si="3"/>
        <v>6.5939741143730679E-4</v>
      </c>
      <c r="T130" s="41">
        <f t="shared" si="3"/>
        <v>1.5059525037469427E-3</v>
      </c>
    </row>
    <row r="131" spans="16:20" ht="15" customHeight="1">
      <c r="P131" s="53">
        <v>45568</v>
      </c>
      <c r="Q131" s="41">
        <v>23178.75</v>
      </c>
      <c r="R131" s="41">
        <v>2170.10302734375</v>
      </c>
      <c r="S131" s="41">
        <f t="shared" si="3"/>
        <v>-5.0565760724034219E-3</v>
      </c>
      <c r="T131" s="41">
        <f t="shared" si="3"/>
        <v>-4.9214661092542638E-3</v>
      </c>
    </row>
    <row r="132" spans="16:20" ht="15" customHeight="1">
      <c r="P132" s="53">
        <v>45569</v>
      </c>
      <c r="Q132" s="41">
        <v>23094.69921875</v>
      </c>
      <c r="R132" s="41">
        <v>2184.66235351562</v>
      </c>
      <c r="S132" s="41">
        <f t="shared" si="3"/>
        <v>-3.6261999137140702E-3</v>
      </c>
      <c r="T132" s="41">
        <f t="shared" si="3"/>
        <v>6.7090483670219601E-3</v>
      </c>
    </row>
    <row r="133" spans="16:20" ht="15" customHeight="1">
      <c r="P133" s="53">
        <v>45572</v>
      </c>
      <c r="Q133" s="41">
        <v>22977.80078125</v>
      </c>
      <c r="R133" s="41">
        <v>2161.45654296875</v>
      </c>
      <c r="S133" s="41">
        <f t="shared" si="3"/>
        <v>-5.0616999335108522E-3</v>
      </c>
      <c r="T133" s="41">
        <f t="shared" si="3"/>
        <v>-1.0622149692617973E-2</v>
      </c>
    </row>
    <row r="134" spans="16:20" ht="15" customHeight="1">
      <c r="P134" s="53">
        <v>45573</v>
      </c>
      <c r="Q134" s="41">
        <v>23307.94921875</v>
      </c>
      <c r="R134" s="41">
        <v>2203.24682617187</v>
      </c>
      <c r="S134" s="41">
        <f t="shared" si="3"/>
        <v>1.4368147789382993E-2</v>
      </c>
      <c r="T134" s="41">
        <f t="shared" si="3"/>
        <v>1.9334315713662811E-2</v>
      </c>
    </row>
    <row r="135" spans="16:20" ht="15" customHeight="1">
      <c r="P135" s="53">
        <v>45574</v>
      </c>
      <c r="Q135" s="41">
        <v>23783.80078125</v>
      </c>
      <c r="R135" s="41">
        <v>2271.91967773437</v>
      </c>
      <c r="S135" s="41">
        <f t="shared" si="3"/>
        <v>2.0415848603153933E-2</v>
      </c>
      <c r="T135" s="41">
        <f t="shared" si="3"/>
        <v>3.1168932480351613E-2</v>
      </c>
    </row>
    <row r="136" spans="16:20" ht="15" customHeight="1">
      <c r="P136" s="53">
        <v>45575</v>
      </c>
      <c r="Q136" s="41">
        <v>23305.150390625</v>
      </c>
      <c r="R136" s="41">
        <v>2141.33178710937</v>
      </c>
      <c r="S136" s="41">
        <f t="shared" ref="S136:T199" si="4">(Q136-Q135)/Q135</f>
        <v>-2.0125058859488298E-2</v>
      </c>
      <c r="T136" s="41">
        <f t="shared" si="4"/>
        <v>-5.747909660046889E-2</v>
      </c>
    </row>
    <row r="137" spans="16:20" ht="15" customHeight="1">
      <c r="P137" s="53">
        <v>45576</v>
      </c>
      <c r="Q137" s="41">
        <v>23582.25</v>
      </c>
      <c r="R137" s="41">
        <v>2210.75</v>
      </c>
      <c r="S137" s="41">
        <f t="shared" si="4"/>
        <v>1.1890058838087109E-2</v>
      </c>
      <c r="T137" s="41">
        <f t="shared" si="4"/>
        <v>3.2418242380055987E-2</v>
      </c>
    </row>
    <row r="138" spans="16:20" ht="15" customHeight="1">
      <c r="P138" s="53">
        <v>45579</v>
      </c>
      <c r="Q138" s="41">
        <v>23680</v>
      </c>
      <c r="R138" s="41">
        <v>2230.03002929687</v>
      </c>
      <c r="S138" s="41">
        <f t="shared" si="4"/>
        <v>4.1450667345143064E-3</v>
      </c>
      <c r="T138" s="41">
        <f t="shared" si="4"/>
        <v>8.7210355295126076E-3</v>
      </c>
    </row>
    <row r="139" spans="16:20" ht="15" customHeight="1">
      <c r="P139" s="53">
        <v>45580</v>
      </c>
      <c r="Q139" s="41">
        <v>23555.69921875</v>
      </c>
      <c r="R139" s="41">
        <v>2236.98681640625</v>
      </c>
      <c r="S139" s="41">
        <f t="shared" si="4"/>
        <v>-5.249188397381757E-3</v>
      </c>
      <c r="T139" s="41">
        <f t="shared" si="4"/>
        <v>3.1195934664491861E-3</v>
      </c>
    </row>
    <row r="140" spans="16:20" ht="15" customHeight="1">
      <c r="P140" s="53">
        <v>45581</v>
      </c>
      <c r="Q140" s="41">
        <v>23467.349609375</v>
      </c>
      <c r="R140" s="41">
        <v>2181.73071289062</v>
      </c>
      <c r="S140" s="41">
        <f t="shared" si="4"/>
        <v>-3.7506680890489114E-3</v>
      </c>
      <c r="T140" s="41">
        <f t="shared" si="4"/>
        <v>-2.4701130605856537E-2</v>
      </c>
    </row>
    <row r="141" spans="16:20" ht="15" customHeight="1">
      <c r="P141" s="53">
        <v>45582</v>
      </c>
      <c r="Q141" s="41">
        <v>23254</v>
      </c>
      <c r="R141" s="41">
        <v>2162.84814453125</v>
      </c>
      <c r="S141" s="41">
        <f t="shared" si="4"/>
        <v>-9.0913380899975468E-3</v>
      </c>
      <c r="T141" s="41">
        <f t="shared" si="4"/>
        <v>-8.6548574706326129E-3</v>
      </c>
    </row>
    <row r="142" spans="16:20" ht="15" customHeight="1">
      <c r="P142" s="53">
        <v>45583</v>
      </c>
      <c r="Q142" s="41">
        <v>23356.19921875</v>
      </c>
      <c r="R142" s="41">
        <v>2166.22705078125</v>
      </c>
      <c r="S142" s="41">
        <f t="shared" si="4"/>
        <v>4.3949092091683153E-3</v>
      </c>
      <c r="T142" s="41">
        <f t="shared" si="4"/>
        <v>1.5622484909740642E-3</v>
      </c>
    </row>
    <row r="143" spans="16:20" ht="15" customHeight="1">
      <c r="P143" s="53">
        <v>45586</v>
      </c>
      <c r="Q143" s="41">
        <v>23122.69921875</v>
      </c>
      <c r="R143" s="41">
        <v>2138.6484375</v>
      </c>
      <c r="S143" s="41">
        <f t="shared" si="4"/>
        <v>-9.9973457929982794E-3</v>
      </c>
      <c r="T143" s="41">
        <f t="shared" si="4"/>
        <v>-1.2731173895785194E-2</v>
      </c>
    </row>
    <row r="144" spans="16:20" ht="15" customHeight="1">
      <c r="P144" s="53">
        <v>45587</v>
      </c>
      <c r="Q144" s="41">
        <v>22828.19921875</v>
      </c>
      <c r="R144" s="41">
        <v>2118.87158203125</v>
      </c>
      <c r="S144" s="41">
        <f t="shared" si="4"/>
        <v>-1.2736402321109314E-2</v>
      </c>
      <c r="T144" s="41">
        <f t="shared" si="4"/>
        <v>-9.247361614921807E-3</v>
      </c>
    </row>
    <row r="145" spans="16:20" ht="15" customHeight="1">
      <c r="P145" s="53">
        <v>45588</v>
      </c>
      <c r="Q145" s="41">
        <v>22471.599609375</v>
      </c>
      <c r="R145" s="41">
        <v>2061.72705078125</v>
      </c>
      <c r="S145" s="41">
        <f t="shared" si="4"/>
        <v>-1.562101355248845E-2</v>
      </c>
      <c r="T145" s="41">
        <f t="shared" si="4"/>
        <v>-2.6969322602938762E-2</v>
      </c>
    </row>
    <row r="146" spans="16:20" ht="15" customHeight="1">
      <c r="P146" s="53">
        <v>45589</v>
      </c>
      <c r="Q146" s="41">
        <v>22570.80078125</v>
      </c>
      <c r="R146" s="41">
        <v>2118.37475585937</v>
      </c>
      <c r="S146" s="41">
        <f t="shared" si="4"/>
        <v>4.4145131454555618E-3</v>
      </c>
      <c r="T146" s="41">
        <f t="shared" si="4"/>
        <v>2.7475850916664497E-2</v>
      </c>
    </row>
    <row r="147" spans="16:20" ht="15" customHeight="1">
      <c r="P147" s="53">
        <v>45590</v>
      </c>
      <c r="Q147" s="41">
        <v>22574.55078125</v>
      </c>
      <c r="R147" s="41">
        <v>2143.369140625</v>
      </c>
      <c r="S147" s="41">
        <f t="shared" si="4"/>
        <v>1.6614386154678205E-4</v>
      </c>
      <c r="T147" s="41">
        <f t="shared" si="4"/>
        <v>1.1798849422887135E-2</v>
      </c>
    </row>
    <row r="148" spans="16:20" ht="15" customHeight="1">
      <c r="P148" s="53">
        <v>45593</v>
      </c>
      <c r="Q148" s="41">
        <v>22857.25</v>
      </c>
      <c r="R148" s="41">
        <v>2191.07250976562</v>
      </c>
      <c r="S148" s="41">
        <f t="shared" si="4"/>
        <v>1.2522916690098865E-2</v>
      </c>
      <c r="T148" s="41">
        <f t="shared" si="4"/>
        <v>2.225625452772444E-2</v>
      </c>
    </row>
    <row r="149" spans="16:20" ht="15" customHeight="1">
      <c r="P149" s="53">
        <v>45594</v>
      </c>
      <c r="Q149" s="41">
        <v>22601.400390625</v>
      </c>
      <c r="R149" s="41">
        <v>2192.51342773437</v>
      </c>
      <c r="S149" s="41">
        <f t="shared" si="4"/>
        <v>-1.1193367941244025E-2</v>
      </c>
      <c r="T149" s="41">
        <f t="shared" si="4"/>
        <v>6.5763134826794735E-4</v>
      </c>
    </row>
    <row r="150" spans="16:20" ht="15" customHeight="1">
      <c r="P150" s="53">
        <v>45595</v>
      </c>
      <c r="Q150" s="41">
        <v>22374.94921875</v>
      </c>
      <c r="R150" s="41">
        <v>2144.90966796875</v>
      </c>
      <c r="S150" s="41">
        <f t="shared" si="4"/>
        <v>-1.0019342516888083E-2</v>
      </c>
      <c r="T150" s="41">
        <f t="shared" si="4"/>
        <v>-2.1711958140576252E-2</v>
      </c>
    </row>
    <row r="151" spans="16:20" ht="15" customHeight="1">
      <c r="P151" s="53">
        <v>45596</v>
      </c>
      <c r="Q151" s="41">
        <v>22735.55078125</v>
      </c>
      <c r="R151" s="41">
        <v>2173.43212890625</v>
      </c>
      <c r="S151" s="41">
        <f t="shared" si="4"/>
        <v>1.6116307526535936E-2</v>
      </c>
      <c r="T151" s="41">
        <f t="shared" si="4"/>
        <v>1.3297744591972045E-2</v>
      </c>
    </row>
    <row r="152" spans="16:20" ht="15" customHeight="1">
      <c r="P152" s="53">
        <v>45597</v>
      </c>
      <c r="Q152" s="41">
        <v>22807.150390625</v>
      </c>
      <c r="R152" s="41">
        <v>2184.11572265625</v>
      </c>
      <c r="S152" s="41">
        <f t="shared" si="4"/>
        <v>3.1492357525839299E-3</v>
      </c>
      <c r="T152" s="41">
        <f t="shared" si="4"/>
        <v>4.9155405443354573E-3</v>
      </c>
    </row>
    <row r="153" spans="16:20" ht="15" customHeight="1">
      <c r="P153" s="53">
        <v>45600</v>
      </c>
      <c r="Q153" s="41">
        <v>22638.30078125</v>
      </c>
      <c r="R153" s="41">
        <v>2174.82373046875</v>
      </c>
      <c r="S153" s="41">
        <f t="shared" si="4"/>
        <v>-7.4033628262655084E-3</v>
      </c>
      <c r="T153" s="41">
        <f t="shared" si="4"/>
        <v>-4.2543497540502954E-3</v>
      </c>
    </row>
    <row r="154" spans="16:20" ht="15" customHeight="1">
      <c r="P154" s="53">
        <v>45601</v>
      </c>
      <c r="Q154" s="41">
        <v>22661.25</v>
      </c>
      <c r="R154" s="41">
        <v>2168.26440429687</v>
      </c>
      <c r="S154" s="41">
        <f t="shared" si="4"/>
        <v>1.0137341566292606E-3</v>
      </c>
      <c r="T154" s="41">
        <f t="shared" si="4"/>
        <v>-3.0160265772280494E-3</v>
      </c>
    </row>
    <row r="155" spans="16:20" ht="15" customHeight="1">
      <c r="P155" s="53">
        <v>45602</v>
      </c>
      <c r="Q155" s="41">
        <v>22920.349609375</v>
      </c>
      <c r="R155" s="41">
        <v>2152.66137695312</v>
      </c>
      <c r="S155" s="41">
        <f t="shared" si="4"/>
        <v>1.1433597412984721E-2</v>
      </c>
      <c r="T155" s="41">
        <f t="shared" si="4"/>
        <v>-7.1960907133047673E-3</v>
      </c>
    </row>
    <row r="156" spans="16:20" ht="15" customHeight="1">
      <c r="P156" s="53">
        <v>45603</v>
      </c>
      <c r="Q156" s="41">
        <v>22526.94921875</v>
      </c>
      <c r="R156" s="41">
        <v>2098.44848632812</v>
      </c>
      <c r="S156" s="41">
        <f t="shared" si="4"/>
        <v>-1.716380410114204E-2</v>
      </c>
      <c r="T156" s="41">
        <f t="shared" si="4"/>
        <v>-2.5184123803871562E-2</v>
      </c>
    </row>
    <row r="157" spans="16:20" ht="15" customHeight="1">
      <c r="P157" s="53">
        <v>45604</v>
      </c>
      <c r="Q157" s="41">
        <v>22542.25</v>
      </c>
      <c r="R157" s="41">
        <v>2091.59130859375</v>
      </c>
      <c r="S157" s="41">
        <f t="shared" si="4"/>
        <v>6.7922118975900217E-4</v>
      </c>
      <c r="T157" s="41">
        <f t="shared" si="4"/>
        <v>-3.2677369871341165E-3</v>
      </c>
    </row>
    <row r="158" spans="16:20" ht="15" customHeight="1">
      <c r="P158" s="53">
        <v>45607</v>
      </c>
      <c r="Q158" s="41">
        <v>22344.25</v>
      </c>
      <c r="R158" s="41">
        <v>2072.01293945312</v>
      </c>
      <c r="S158" s="41">
        <f t="shared" si="4"/>
        <v>-8.783506526633322E-3</v>
      </c>
      <c r="T158" s="41">
        <f t="shared" si="4"/>
        <v>-9.3605137199547963E-3</v>
      </c>
    </row>
    <row r="159" spans="16:20" ht="15" customHeight="1">
      <c r="P159" s="53">
        <v>45608</v>
      </c>
      <c r="Q159" s="41">
        <v>22151.599609375</v>
      </c>
      <c r="R159" s="41">
        <v>2077.18090820312</v>
      </c>
      <c r="S159" s="41">
        <f t="shared" si="4"/>
        <v>-8.6219224464907079E-3</v>
      </c>
      <c r="T159" s="41">
        <f t="shared" si="4"/>
        <v>2.4941778362465323E-3</v>
      </c>
    </row>
    <row r="160" spans="16:20" ht="15" customHeight="1">
      <c r="P160" s="53">
        <v>45609</v>
      </c>
      <c r="Q160" s="41">
        <v>21809.30078125</v>
      </c>
      <c r="R160" s="41">
        <v>2026.39672851562</v>
      </c>
      <c r="S160" s="41">
        <f t="shared" si="4"/>
        <v>-1.5452555759455507E-2</v>
      </c>
      <c r="T160" s="41">
        <f t="shared" si="4"/>
        <v>-2.444860699756345E-2</v>
      </c>
    </row>
    <row r="161" spans="16:20" ht="15" customHeight="1">
      <c r="P161" s="53">
        <v>45610</v>
      </c>
      <c r="Q161" s="41">
        <v>21752</v>
      </c>
      <c r="R161" s="41">
        <v>2003.38977050781</v>
      </c>
      <c r="S161" s="41">
        <f t="shared" si="4"/>
        <v>-2.627355265752624E-3</v>
      </c>
      <c r="T161" s="41">
        <f t="shared" si="4"/>
        <v>-1.1353629663951885E-2</v>
      </c>
    </row>
    <row r="162" spans="16:20" ht="15" customHeight="1">
      <c r="P162" s="53">
        <v>45614</v>
      </c>
      <c r="Q162" s="41">
        <v>21544.150390625</v>
      </c>
      <c r="R162" s="41">
        <v>2023.16674804687</v>
      </c>
      <c r="S162" s="41">
        <f t="shared" si="4"/>
        <v>-9.5554252195200438E-3</v>
      </c>
      <c r="T162" s="41">
        <f t="shared" si="4"/>
        <v>9.8717572736966817E-3</v>
      </c>
    </row>
    <row r="163" spans="16:20" ht="15" customHeight="1">
      <c r="P163" s="53">
        <v>45615</v>
      </c>
      <c r="Q163" s="41">
        <v>21768.849609375</v>
      </c>
      <c r="R163" s="41">
        <v>2025.6015625</v>
      </c>
      <c r="S163" s="41">
        <f t="shared" si="4"/>
        <v>1.0429708977884712E-2</v>
      </c>
      <c r="T163" s="41">
        <f t="shared" si="4"/>
        <v>1.2034670179709754E-3</v>
      </c>
    </row>
    <row r="164" spans="16:20" ht="15" customHeight="1">
      <c r="P164" s="53">
        <v>45617</v>
      </c>
      <c r="Q164" s="41">
        <v>21740.099609375</v>
      </c>
      <c r="R164" s="41">
        <v>2030.37194824218</v>
      </c>
      <c r="S164" s="41">
        <f t="shared" si="4"/>
        <v>-1.3206945022771661E-3</v>
      </c>
      <c r="T164" s="41">
        <f t="shared" si="4"/>
        <v>2.3550464368186901E-3</v>
      </c>
    </row>
    <row r="165" spans="16:20" ht="15" customHeight="1">
      <c r="P165" s="53">
        <v>45618</v>
      </c>
      <c r="Q165" s="41">
        <v>21962.05078125</v>
      </c>
      <c r="R165" s="41">
        <v>2058.546875</v>
      </c>
      <c r="S165" s="41">
        <f t="shared" si="4"/>
        <v>1.0209298754973865E-2</v>
      </c>
      <c r="T165" s="41">
        <f t="shared" si="4"/>
        <v>1.3876731690571671E-2</v>
      </c>
    </row>
    <row r="166" spans="16:20" ht="15" customHeight="1">
      <c r="P166" s="53">
        <v>45621</v>
      </c>
      <c r="Q166" s="41">
        <v>22177.05078125</v>
      </c>
      <c r="R166" s="41">
        <v>2094.12524414062</v>
      </c>
      <c r="S166" s="41">
        <f t="shared" si="4"/>
        <v>9.7896140092506873E-3</v>
      </c>
      <c r="T166" s="41">
        <f t="shared" si="4"/>
        <v>1.7283244590007209E-2</v>
      </c>
    </row>
    <row r="167" spans="16:20" ht="15" customHeight="1">
      <c r="P167" s="53">
        <v>45622</v>
      </c>
      <c r="Q167" s="41">
        <v>21961.75</v>
      </c>
      <c r="R167" s="41">
        <v>2023.41528320312</v>
      </c>
      <c r="S167" s="41">
        <f t="shared" si="4"/>
        <v>-9.7082692993619348E-3</v>
      </c>
      <c r="T167" s="41">
        <f t="shared" si="4"/>
        <v>-3.3765870086016614E-2</v>
      </c>
    </row>
    <row r="168" spans="16:20" ht="15" customHeight="1">
      <c r="P168" s="53">
        <v>45623</v>
      </c>
      <c r="Q168" s="41">
        <v>21828.599609375</v>
      </c>
      <c r="R168" s="41">
        <v>1993.94848632812</v>
      </c>
      <c r="S168" s="41">
        <f t="shared" si="4"/>
        <v>-6.0628315423406605E-3</v>
      </c>
      <c r="T168" s="41">
        <f t="shared" si="4"/>
        <v>-1.4562901209460709E-2</v>
      </c>
    </row>
    <row r="169" spans="16:20" ht="15" customHeight="1">
      <c r="P169" s="53">
        <v>45624</v>
      </c>
      <c r="Q169" s="41">
        <v>21728.599609375</v>
      </c>
      <c r="R169" s="41">
        <v>1986.04772949218</v>
      </c>
      <c r="S169" s="41">
        <f t="shared" si="4"/>
        <v>-4.5811459181766181E-3</v>
      </c>
      <c r="T169" s="41">
        <f t="shared" si="4"/>
        <v>-3.9623675787579344E-3</v>
      </c>
    </row>
    <row r="170" spans="16:20" ht="15" customHeight="1">
      <c r="P170" s="53">
        <v>45625</v>
      </c>
      <c r="Q170" s="41">
        <v>22240.19921875</v>
      </c>
      <c r="R170" s="41">
        <v>2038.07409667968</v>
      </c>
      <c r="S170" s="41">
        <f t="shared" si="4"/>
        <v>2.3544987646339884E-2</v>
      </c>
      <c r="T170" s="41">
        <f t="shared" si="4"/>
        <v>2.6195929944142288E-2</v>
      </c>
    </row>
    <row r="171" spans="16:20" ht="15" customHeight="1">
      <c r="P171" s="53">
        <v>45628</v>
      </c>
      <c r="Q171" s="41">
        <v>22450.19921875</v>
      </c>
      <c r="R171" s="41">
        <v>2056.7578125</v>
      </c>
      <c r="S171" s="41">
        <f t="shared" si="4"/>
        <v>9.4423614615356376E-3</v>
      </c>
      <c r="T171" s="41">
        <f t="shared" si="4"/>
        <v>9.1673388375616473E-3</v>
      </c>
    </row>
    <row r="172" spans="16:20" ht="15" customHeight="1">
      <c r="P172" s="53">
        <v>45629</v>
      </c>
      <c r="Q172" s="41">
        <v>22445.69921875</v>
      </c>
      <c r="R172" s="41">
        <v>2068.78295898437</v>
      </c>
      <c r="S172" s="41">
        <f t="shared" si="4"/>
        <v>-2.0044365558420887E-4</v>
      </c>
      <c r="T172" s="41">
        <f t="shared" si="4"/>
        <v>5.8466516627708196E-3</v>
      </c>
    </row>
    <row r="173" spans="16:20" ht="15" customHeight="1">
      <c r="P173" s="53">
        <v>45630</v>
      </c>
      <c r="Q173" s="41">
        <v>22422.900390625</v>
      </c>
      <c r="R173" s="41">
        <v>2088.65942382812</v>
      </c>
      <c r="S173" s="41">
        <f t="shared" si="4"/>
        <v>-1.0157325865774328E-3</v>
      </c>
      <c r="T173" s="41">
        <f t="shared" si="4"/>
        <v>9.6078057668785005E-3</v>
      </c>
    </row>
    <row r="174" spans="16:20" ht="15" customHeight="1">
      <c r="P174" s="53">
        <v>45631</v>
      </c>
      <c r="Q174" s="41">
        <v>22463.400390625</v>
      </c>
      <c r="R174" s="41">
        <v>2111.91479492187</v>
      </c>
      <c r="S174" s="41">
        <f t="shared" si="4"/>
        <v>1.8061891768886877E-3</v>
      </c>
      <c r="T174" s="41">
        <f t="shared" si="4"/>
        <v>1.1134113502874144E-2</v>
      </c>
    </row>
    <row r="175" spans="16:20" ht="15" customHeight="1">
      <c r="P175" s="53">
        <v>45632</v>
      </c>
      <c r="Q175" s="41">
        <v>22434.75</v>
      </c>
      <c r="R175" s="41">
        <v>2120.3623046875</v>
      </c>
      <c r="S175" s="41">
        <f t="shared" si="4"/>
        <v>-1.2754253642274531E-3</v>
      </c>
      <c r="T175" s="41">
        <f t="shared" si="4"/>
        <v>3.9999292518534194E-3</v>
      </c>
    </row>
    <row r="176" spans="16:20" ht="15" customHeight="1">
      <c r="P176" s="53">
        <v>45635</v>
      </c>
      <c r="Q176" s="41">
        <v>22309.099609375</v>
      </c>
      <c r="R176" s="41">
        <v>2091.6904296875</v>
      </c>
      <c r="S176" s="41">
        <f t="shared" si="4"/>
        <v>-5.6007038467110176E-3</v>
      </c>
      <c r="T176" s="41">
        <f t="shared" si="4"/>
        <v>-1.3522158423876374E-2</v>
      </c>
    </row>
    <row r="177" spans="16:20" ht="15" customHeight="1">
      <c r="P177" s="53">
        <v>45636</v>
      </c>
      <c r="Q177" s="41">
        <v>22291.44921875</v>
      </c>
      <c r="R177" s="41">
        <v>2120.85913085937</v>
      </c>
      <c r="S177" s="41">
        <f t="shared" si="4"/>
        <v>-7.9117449534282141E-4</v>
      </c>
      <c r="T177" s="41">
        <f t="shared" si="4"/>
        <v>1.3945037352505275E-2</v>
      </c>
    </row>
    <row r="178" spans="16:20" ht="15" customHeight="1">
      <c r="P178" s="53">
        <v>45637</v>
      </c>
      <c r="Q178" s="41">
        <v>22302.599609375</v>
      </c>
      <c r="R178" s="41">
        <v>2137.10791015625</v>
      </c>
      <c r="S178" s="41">
        <f t="shared" si="4"/>
        <v>5.0020931863061977E-4</v>
      </c>
      <c r="T178" s="41">
        <f t="shared" si="4"/>
        <v>7.6614137452382389E-3</v>
      </c>
    </row>
    <row r="179" spans="16:20" ht="15" customHeight="1">
      <c r="P179" s="53">
        <v>45638</v>
      </c>
      <c r="Q179" s="41">
        <v>22229.30078125</v>
      </c>
      <c r="R179" s="41">
        <v>2106.7470703125</v>
      </c>
      <c r="S179" s="41">
        <f t="shared" si="4"/>
        <v>-3.2865598364680546E-3</v>
      </c>
      <c r="T179" s="41">
        <f t="shared" si="4"/>
        <v>-1.4206507635606587E-2</v>
      </c>
    </row>
    <row r="180" spans="16:20" ht="15" customHeight="1">
      <c r="P180" s="53">
        <v>45639</v>
      </c>
      <c r="Q180" s="41">
        <v>22157.349609375</v>
      </c>
      <c r="R180" s="41">
        <v>2063.91333007812</v>
      </c>
      <c r="S180" s="41">
        <f t="shared" si="4"/>
        <v>-3.2367717087929942E-3</v>
      </c>
      <c r="T180" s="41">
        <f t="shared" si="4"/>
        <v>-2.0331695644900716E-2</v>
      </c>
    </row>
    <row r="181" spans="16:20" ht="15" customHeight="1">
      <c r="P181" s="53">
        <v>45642</v>
      </c>
      <c r="Q181" s="41">
        <v>22255.55078125</v>
      </c>
      <c r="R181" s="41">
        <v>2050.64575195312</v>
      </c>
      <c r="S181" s="41">
        <f t="shared" si="4"/>
        <v>4.4319909017209386E-3</v>
      </c>
      <c r="T181" s="41">
        <f t="shared" si="4"/>
        <v>-6.4283601116611891E-3</v>
      </c>
    </row>
    <row r="182" spans="16:20" ht="15" customHeight="1">
      <c r="P182" s="53">
        <v>45643</v>
      </c>
      <c r="Q182" s="41">
        <v>22074.55078125</v>
      </c>
      <c r="R182" s="41">
        <v>2034.595703125</v>
      </c>
      <c r="S182" s="41">
        <f t="shared" si="4"/>
        <v>-8.1328025434665961E-3</v>
      </c>
      <c r="T182" s="41">
        <f t="shared" si="4"/>
        <v>-7.826826653425276E-3</v>
      </c>
    </row>
    <row r="183" spans="16:20" ht="15" customHeight="1">
      <c r="P183" s="53">
        <v>45644</v>
      </c>
      <c r="Q183" s="41">
        <v>22314.55078125</v>
      </c>
      <c r="R183" s="41">
        <v>2086.12524414062</v>
      </c>
      <c r="S183" s="41">
        <f t="shared" si="4"/>
        <v>1.0872248426629576E-2</v>
      </c>
      <c r="T183" s="41">
        <f t="shared" si="4"/>
        <v>2.5326673469561616E-2</v>
      </c>
    </row>
    <row r="184" spans="16:20" ht="15" customHeight="1">
      <c r="P184" s="53">
        <v>45645</v>
      </c>
      <c r="Q184" s="41">
        <v>22697.900390625</v>
      </c>
      <c r="R184" s="41">
        <v>2149.48120117187</v>
      </c>
      <c r="S184" s="41">
        <f t="shared" si="4"/>
        <v>1.7179355889033309E-2</v>
      </c>
      <c r="T184" s="41">
        <f t="shared" si="4"/>
        <v>3.0370159801862476E-2</v>
      </c>
    </row>
    <row r="185" spans="16:20" ht="15" customHeight="1">
      <c r="P185" s="53">
        <v>45646</v>
      </c>
      <c r="Q185" s="41">
        <v>22501.849609375</v>
      </c>
      <c r="R185" s="41">
        <v>2137.40625</v>
      </c>
      <c r="S185" s="41">
        <f t="shared" si="4"/>
        <v>-8.6373971986843153E-3</v>
      </c>
      <c r="T185" s="41">
        <f t="shared" si="4"/>
        <v>-5.6176118987627741E-3</v>
      </c>
    </row>
    <row r="186" spans="16:20" ht="15" customHeight="1">
      <c r="P186" s="53">
        <v>45649</v>
      </c>
      <c r="Q186" s="41">
        <v>22572.05078125</v>
      </c>
      <c r="R186" s="41">
        <v>2146.94702148437</v>
      </c>
      <c r="S186" s="41">
        <f t="shared" si="4"/>
        <v>3.1197956209676166E-3</v>
      </c>
      <c r="T186" s="41">
        <f t="shared" si="4"/>
        <v>4.4637146000532178E-3</v>
      </c>
    </row>
    <row r="187" spans="16:20" ht="15" customHeight="1">
      <c r="P187" s="53">
        <v>45650</v>
      </c>
      <c r="Q187" s="41">
        <v>22558.900390625</v>
      </c>
      <c r="R187" s="41">
        <v>2156.04028320312</v>
      </c>
      <c r="S187" s="41">
        <f t="shared" si="4"/>
        <v>-5.8259618288311133E-4</v>
      </c>
      <c r="T187" s="41">
        <f t="shared" si="4"/>
        <v>4.2354383353451555E-3</v>
      </c>
    </row>
    <row r="188" spans="16:20" ht="15" customHeight="1">
      <c r="P188" s="53">
        <v>45652</v>
      </c>
      <c r="Q188" s="41">
        <v>22712.55078125</v>
      </c>
      <c r="R188" s="41">
        <v>2168.6123046875</v>
      </c>
      <c r="S188" s="41">
        <f t="shared" si="4"/>
        <v>6.8110762477081484E-3</v>
      </c>
      <c r="T188" s="41">
        <f t="shared" si="4"/>
        <v>5.8310698470356902E-3</v>
      </c>
    </row>
    <row r="189" spans="16:20" ht="15" customHeight="1">
      <c r="P189" s="53">
        <v>45653</v>
      </c>
      <c r="Q189" s="41">
        <v>23008.349609375</v>
      </c>
      <c r="R189" s="41">
        <v>2214.02978515625</v>
      </c>
      <c r="S189" s="41">
        <f t="shared" si="4"/>
        <v>1.3023584667962183E-2</v>
      </c>
      <c r="T189" s="41">
        <f t="shared" si="4"/>
        <v>2.0943107428920874E-2</v>
      </c>
    </row>
    <row r="190" spans="16:20" ht="15" customHeight="1">
      <c r="P190" s="53">
        <v>45656</v>
      </c>
      <c r="Q190" s="41">
        <v>23241.150390625</v>
      </c>
      <c r="R190" s="41">
        <v>2297.0634765625</v>
      </c>
      <c r="S190" s="41">
        <f t="shared" si="4"/>
        <v>1.0118099959466142E-2</v>
      </c>
      <c r="T190" s="41">
        <f t="shared" si="4"/>
        <v>3.75034211205926E-2</v>
      </c>
    </row>
    <row r="191" spans="16:20" ht="15" customHeight="1">
      <c r="P191" s="53">
        <v>45657</v>
      </c>
      <c r="Q191" s="41">
        <v>23412.25</v>
      </c>
      <c r="R191" s="41">
        <v>2341.13916015625</v>
      </c>
      <c r="S191" s="41">
        <f t="shared" si="4"/>
        <v>7.3619251413655513E-3</v>
      </c>
      <c r="T191" s="41">
        <f t="shared" si="4"/>
        <v>1.9187838753027493E-2</v>
      </c>
    </row>
    <row r="192" spans="16:20" ht="15" customHeight="1">
      <c r="P192" s="53">
        <v>45658</v>
      </c>
      <c r="Q192" s="41">
        <v>23459.75</v>
      </c>
      <c r="R192" s="41">
        <v>2350.2822265625</v>
      </c>
      <c r="S192" s="41">
        <f t="shared" si="4"/>
        <v>2.0288524170039191E-3</v>
      </c>
      <c r="T192" s="41">
        <f t="shared" si="4"/>
        <v>3.9053921107533745E-3</v>
      </c>
    </row>
    <row r="193" spans="16:20" ht="15" customHeight="1">
      <c r="P193" s="53">
        <v>45659</v>
      </c>
      <c r="Q193" s="41">
        <v>23553.400390625</v>
      </c>
      <c r="R193" s="41">
        <v>2381.28955078125</v>
      </c>
      <c r="S193" s="41">
        <f t="shared" si="4"/>
        <v>3.9919602990227945E-3</v>
      </c>
      <c r="T193" s="41">
        <f t="shared" si="4"/>
        <v>1.3193021616004394E-2</v>
      </c>
    </row>
    <row r="194" spans="16:20" ht="15" customHeight="1">
      <c r="P194" s="53">
        <v>45660</v>
      </c>
      <c r="Q194" s="41">
        <v>23263.5</v>
      </c>
      <c r="R194" s="41">
        <v>2354.2080078125</v>
      </c>
      <c r="S194" s="41">
        <f t="shared" si="4"/>
        <v>-1.2308218168803751E-2</v>
      </c>
      <c r="T194" s="41">
        <f t="shared" si="4"/>
        <v>-1.1372637552566896E-2</v>
      </c>
    </row>
    <row r="195" spans="16:20" ht="15" customHeight="1">
      <c r="P195" s="53">
        <v>45663</v>
      </c>
      <c r="Q195" s="41">
        <v>23073.05078125</v>
      </c>
      <c r="R195" s="41">
        <v>2345.71069335937</v>
      </c>
      <c r="S195" s="41">
        <f t="shared" si="4"/>
        <v>-8.1866107314032717E-3</v>
      </c>
      <c r="T195" s="41">
        <f t="shared" si="4"/>
        <v>-3.6094153213868294E-3</v>
      </c>
    </row>
    <row r="196" spans="16:20" ht="15" customHeight="1">
      <c r="P196" s="53">
        <v>45664</v>
      </c>
      <c r="Q196" s="41">
        <v>23228.55078125</v>
      </c>
      <c r="R196" s="41">
        <v>2343.07690429687</v>
      </c>
      <c r="S196" s="41">
        <f t="shared" si="4"/>
        <v>6.739464211917956E-3</v>
      </c>
      <c r="T196" s="41">
        <f t="shared" si="4"/>
        <v>-1.1228106986748922E-3</v>
      </c>
    </row>
    <row r="197" spans="16:20" ht="15" customHeight="1">
      <c r="P197" s="53">
        <v>45665</v>
      </c>
      <c r="Q197" s="41">
        <v>23011.099609375</v>
      </c>
      <c r="R197" s="41">
        <v>2238.22900390625</v>
      </c>
      <c r="S197" s="41">
        <f t="shared" si="4"/>
        <v>-9.3613748839865545E-3</v>
      </c>
      <c r="T197" s="41">
        <f t="shared" si="4"/>
        <v>-4.474795522005439E-2</v>
      </c>
    </row>
    <row r="198" spans="16:20" ht="15" customHeight="1">
      <c r="P198" s="53">
        <v>45666</v>
      </c>
      <c r="Q198" s="41">
        <v>22868.099609375</v>
      </c>
      <c r="R198" s="41">
        <v>2238.92504882812</v>
      </c>
      <c r="S198" s="41">
        <f t="shared" si="4"/>
        <v>-6.2143922901337608E-3</v>
      </c>
      <c r="T198" s="41">
        <f t="shared" si="4"/>
        <v>3.1098020830541977E-4</v>
      </c>
    </row>
    <row r="199" spans="16:20" ht="15" customHeight="1">
      <c r="P199" s="53">
        <v>45667</v>
      </c>
      <c r="Q199" s="41">
        <v>22380.849609375</v>
      </c>
      <c r="R199" s="41">
        <v>2177.556640625</v>
      </c>
      <c r="S199" s="41">
        <f t="shared" si="4"/>
        <v>-2.1306973833551394E-2</v>
      </c>
      <c r="T199" s="41">
        <f t="shared" si="4"/>
        <v>-2.7409764447113114E-2</v>
      </c>
    </row>
    <row r="200" spans="16:20" ht="15" customHeight="1">
      <c r="P200" s="53">
        <v>45670</v>
      </c>
      <c r="Q200" s="41">
        <v>21903.349609375</v>
      </c>
      <c r="R200" s="41">
        <v>2141.13305664062</v>
      </c>
      <c r="S200" s="41">
        <f t="shared" ref="S200:T252" si="5">(Q200-Q199)/Q199</f>
        <v>-2.1335204352563204E-2</v>
      </c>
      <c r="T200" s="41">
        <f t="shared" si="5"/>
        <v>-1.6726813578509601E-2</v>
      </c>
    </row>
    <row r="201" spans="16:20" ht="15" customHeight="1">
      <c r="P201" s="53">
        <v>45671</v>
      </c>
      <c r="Q201" s="41">
        <v>22203.900390625</v>
      </c>
      <c r="R201" s="41">
        <v>2141.2822265625</v>
      </c>
      <c r="S201" s="41">
        <f t="shared" si="5"/>
        <v>1.3721681231867807E-2</v>
      </c>
      <c r="T201" s="41">
        <f t="shared" si="5"/>
        <v>6.9668683792144053E-5</v>
      </c>
    </row>
    <row r="202" spans="16:20" ht="15" customHeight="1">
      <c r="P202" s="53">
        <v>45672</v>
      </c>
      <c r="Q202" s="41">
        <v>21972.69921875</v>
      </c>
      <c r="R202" s="41">
        <v>2115.54223632812</v>
      </c>
      <c r="S202" s="41">
        <f t="shared" si="5"/>
        <v>-1.0412637771182691E-2</v>
      </c>
      <c r="T202" s="41">
        <f t="shared" si="5"/>
        <v>-1.2020830283405287E-2</v>
      </c>
    </row>
    <row r="203" spans="16:20" ht="15" customHeight="1">
      <c r="P203" s="53">
        <v>45673</v>
      </c>
      <c r="Q203" s="41">
        <v>21909.75</v>
      </c>
      <c r="R203" s="41">
        <v>2085.92626953125</v>
      </c>
      <c r="S203" s="41">
        <f t="shared" si="5"/>
        <v>-2.8648832864504622E-3</v>
      </c>
      <c r="T203" s="41">
        <f t="shared" si="5"/>
        <v>-1.3999232106220436E-2</v>
      </c>
    </row>
    <row r="204" spans="16:20" ht="15" customHeight="1">
      <c r="P204" s="53">
        <v>45674</v>
      </c>
      <c r="Q204" s="41">
        <v>22061.69921875</v>
      </c>
      <c r="R204" s="41">
        <v>2100.08837890625</v>
      </c>
      <c r="S204" s="41">
        <f t="shared" si="5"/>
        <v>6.9352328871849292E-3</v>
      </c>
      <c r="T204" s="41">
        <f t="shared" si="5"/>
        <v>6.7893623959117758E-3</v>
      </c>
    </row>
    <row r="205" spans="16:20" ht="15" customHeight="1">
      <c r="P205" s="53">
        <v>45677</v>
      </c>
      <c r="Q205" s="41">
        <v>22182.400390625</v>
      </c>
      <c r="R205" s="41">
        <v>2117.47998046875</v>
      </c>
      <c r="S205" s="41">
        <f t="shared" si="5"/>
        <v>5.4710732241520805E-3</v>
      </c>
      <c r="T205" s="41">
        <f t="shared" si="5"/>
        <v>8.2813665068504141E-3</v>
      </c>
    </row>
    <row r="206" spans="16:20" ht="15" customHeight="1">
      <c r="P206" s="53">
        <v>45678</v>
      </c>
      <c r="Q206" s="41">
        <v>21882.900390625</v>
      </c>
      <c r="R206" s="41">
        <v>2091.24340820312</v>
      </c>
      <c r="S206" s="41">
        <f t="shared" si="5"/>
        <v>-1.3501694799746666E-2</v>
      </c>
      <c r="T206" s="41">
        <f t="shared" si="5"/>
        <v>-1.2390470043462687E-2</v>
      </c>
    </row>
    <row r="207" spans="16:20" ht="15" customHeight="1">
      <c r="P207" s="53">
        <v>45679</v>
      </c>
      <c r="Q207" s="41">
        <v>22034.94921875</v>
      </c>
      <c r="R207" s="41">
        <v>2125.92749023437</v>
      </c>
      <c r="S207" s="41">
        <f t="shared" si="5"/>
        <v>6.9482941205609222E-3</v>
      </c>
      <c r="T207" s="41">
        <f t="shared" si="5"/>
        <v>1.6585387380157697E-2</v>
      </c>
    </row>
    <row r="208" spans="16:20" ht="15" customHeight="1">
      <c r="P208" s="53">
        <v>45680</v>
      </c>
      <c r="Q208" s="41">
        <v>22343.30078125</v>
      </c>
      <c r="R208" s="41">
        <v>2137.90307617187</v>
      </c>
      <c r="S208" s="41">
        <f t="shared" si="5"/>
        <v>1.3993749631045993E-2</v>
      </c>
      <c r="T208" s="41">
        <f t="shared" si="5"/>
        <v>5.6331111914733117E-3</v>
      </c>
    </row>
    <row r="209" spans="16:20" ht="15" customHeight="1">
      <c r="P209" s="53">
        <v>45681</v>
      </c>
      <c r="Q209" s="41">
        <v>21872.400390625</v>
      </c>
      <c r="R209" s="41">
        <v>2121.05786132812</v>
      </c>
      <c r="S209" s="41">
        <f t="shared" si="5"/>
        <v>-2.1075685962217771E-2</v>
      </c>
      <c r="T209" s="41">
        <f t="shared" si="5"/>
        <v>-7.8793164346407357E-3</v>
      </c>
    </row>
    <row r="210" spans="16:20" ht="15" customHeight="1">
      <c r="P210" s="53">
        <v>45684</v>
      </c>
      <c r="Q210" s="41">
        <v>21292.30078125</v>
      </c>
      <c r="R210" s="41">
        <v>2066.1494140625</v>
      </c>
      <c r="S210" s="41">
        <f t="shared" si="5"/>
        <v>-2.6521991140197106E-2</v>
      </c>
      <c r="T210" s="41">
        <f t="shared" si="5"/>
        <v>-2.5887293442923131E-2</v>
      </c>
    </row>
    <row r="211" spans="16:20" ht="15" customHeight="1">
      <c r="P211" s="53">
        <v>45685</v>
      </c>
      <c r="Q211" s="41">
        <v>20796.599609375</v>
      </c>
      <c r="R211" s="41">
        <v>2009.849609375</v>
      </c>
      <c r="S211" s="41">
        <f t="shared" si="5"/>
        <v>-2.3280770686440539E-2</v>
      </c>
      <c r="T211" s="41">
        <f t="shared" si="5"/>
        <v>-2.7248660868529499E-2</v>
      </c>
    </row>
    <row r="212" spans="16:20" ht="15" customHeight="1">
      <c r="P212" s="53">
        <v>45686</v>
      </c>
      <c r="Q212" s="41">
        <v>21163.900390625</v>
      </c>
      <c r="R212" s="41">
        <v>2055.36645507812</v>
      </c>
      <c r="S212" s="41">
        <f t="shared" si="5"/>
        <v>1.7661578726765634E-2</v>
      </c>
      <c r="T212" s="41">
        <f t="shared" si="5"/>
        <v>2.2646891334956305E-2</v>
      </c>
    </row>
    <row r="213" spans="16:20" ht="15" customHeight="1">
      <c r="P213" s="53">
        <v>45687</v>
      </c>
      <c r="Q213" s="41">
        <v>21419.650390625</v>
      </c>
      <c r="R213" s="41">
        <v>2051.6396484375</v>
      </c>
      <c r="S213" s="41">
        <f t="shared" si="5"/>
        <v>1.2084256459328731E-2</v>
      </c>
      <c r="T213" s="41">
        <f t="shared" si="5"/>
        <v>-1.8132078741541736E-3</v>
      </c>
    </row>
    <row r="214" spans="16:20" ht="15" customHeight="1">
      <c r="P214" s="53">
        <v>45688</v>
      </c>
      <c r="Q214" s="41">
        <v>21438.599609375</v>
      </c>
      <c r="R214" s="41">
        <v>2067.59033203125</v>
      </c>
      <c r="S214" s="41">
        <f t="shared" si="5"/>
        <v>8.8466517447426389E-4</v>
      </c>
      <c r="T214" s="41">
        <f t="shared" si="5"/>
        <v>7.7746029162079301E-3</v>
      </c>
    </row>
    <row r="215" spans="16:20" ht="15" customHeight="1">
      <c r="P215" s="53">
        <v>45691</v>
      </c>
      <c r="Q215" s="41">
        <v>21361.599609375</v>
      </c>
      <c r="R215" s="41">
        <v>2019.6884765625</v>
      </c>
      <c r="S215" s="41">
        <f t="shared" si="5"/>
        <v>-3.5916525054336223E-3</v>
      </c>
      <c r="T215" s="41">
        <f t="shared" si="5"/>
        <v>-2.3167962592323631E-2</v>
      </c>
    </row>
    <row r="216" spans="16:20" ht="15" customHeight="1">
      <c r="P216" s="53">
        <v>45692</v>
      </c>
      <c r="Q216" s="41">
        <v>21733.94921875</v>
      </c>
      <c r="R216" s="41">
        <v>2098.150390625</v>
      </c>
      <c r="S216" s="41">
        <f t="shared" si="5"/>
        <v>1.7430792458612804E-2</v>
      </c>
      <c r="T216" s="41">
        <f t="shared" si="5"/>
        <v>3.8848522914802085E-2</v>
      </c>
    </row>
    <row r="217" spans="16:20" ht="15" customHeight="1">
      <c r="P217" s="53">
        <v>45693</v>
      </c>
      <c r="Q217" s="41">
        <v>21868.5</v>
      </c>
      <c r="R217" s="41">
        <v>2171.59375</v>
      </c>
      <c r="S217" s="41">
        <f t="shared" si="5"/>
        <v>6.1908114303461373E-3</v>
      </c>
      <c r="T217" s="41">
        <f t="shared" si="5"/>
        <v>3.5003858495158961E-2</v>
      </c>
    </row>
    <row r="218" spans="16:20" ht="15" customHeight="1">
      <c r="P218" s="53">
        <v>45694</v>
      </c>
      <c r="Q218" s="41">
        <v>22009.05078125</v>
      </c>
      <c r="R218" s="41">
        <v>2171.84228515625</v>
      </c>
      <c r="S218" s="41">
        <f t="shared" si="5"/>
        <v>6.427088334819489E-3</v>
      </c>
      <c r="T218" s="41">
        <f t="shared" si="5"/>
        <v>1.1444827387719273E-4</v>
      </c>
    </row>
    <row r="219" spans="16:20" ht="15" customHeight="1">
      <c r="P219" s="53">
        <v>45695</v>
      </c>
      <c r="Q219" s="41">
        <v>22077</v>
      </c>
      <c r="R219" s="41">
        <v>2187.54443359375</v>
      </c>
      <c r="S219" s="41">
        <f t="shared" si="5"/>
        <v>3.0873307270428696E-3</v>
      </c>
      <c r="T219" s="41">
        <f t="shared" si="5"/>
        <v>7.2298750902947502E-3</v>
      </c>
    </row>
    <row r="220" spans="16:20" ht="15" customHeight="1">
      <c r="P220" s="53">
        <v>45698</v>
      </c>
      <c r="Q220" s="41">
        <v>21665.650390625</v>
      </c>
      <c r="R220" s="41">
        <v>2155.99047851562</v>
      </c>
      <c r="S220" s="41">
        <f t="shared" si="5"/>
        <v>-1.8632495781809123E-2</v>
      </c>
      <c r="T220" s="41">
        <f t="shared" si="5"/>
        <v>-1.4424372183513738E-2</v>
      </c>
    </row>
    <row r="221" spans="16:20" ht="15" customHeight="1">
      <c r="P221" s="53">
        <v>45699</v>
      </c>
      <c r="Q221" s="41">
        <v>21249.5</v>
      </c>
      <c r="R221" s="41">
        <v>2054.82006835937</v>
      </c>
      <c r="S221" s="41">
        <f t="shared" si="5"/>
        <v>-1.9207842050524063E-2</v>
      </c>
      <c r="T221" s="41">
        <f t="shared" si="5"/>
        <v>-4.692525832762718E-2</v>
      </c>
    </row>
    <row r="222" spans="16:20" ht="15" customHeight="1">
      <c r="P222" s="53">
        <v>45700</v>
      </c>
      <c r="Q222" s="41">
        <v>21142.05078125</v>
      </c>
      <c r="R222" s="41">
        <v>2012.68188476562</v>
      </c>
      <c r="S222" s="41">
        <f t="shared" si="5"/>
        <v>-5.0565528012423821E-3</v>
      </c>
      <c r="T222" s="41">
        <f t="shared" si="5"/>
        <v>-2.0506994379996684E-2</v>
      </c>
    </row>
    <row r="223" spans="16:20" ht="15" customHeight="1">
      <c r="P223" s="53">
        <v>45701</v>
      </c>
      <c r="Q223" s="41">
        <v>21427.099609375</v>
      </c>
      <c r="R223" s="41">
        <v>2042.54626464843</v>
      </c>
      <c r="S223" s="41">
        <f t="shared" si="5"/>
        <v>1.3482553375465254E-2</v>
      </c>
      <c r="T223" s="41">
        <f t="shared" si="5"/>
        <v>1.4838102389085572E-2</v>
      </c>
    </row>
    <row r="224" spans="16:20" ht="15" customHeight="1">
      <c r="P224" s="53">
        <v>45702</v>
      </c>
      <c r="Q224" s="41">
        <v>20811.55078125</v>
      </c>
      <c r="R224" s="41">
        <v>1957.72387695312</v>
      </c>
      <c r="S224" s="41">
        <f t="shared" si="5"/>
        <v>-2.872758513035889E-2</v>
      </c>
      <c r="T224" s="41">
        <f t="shared" si="5"/>
        <v>-4.1527768140865055E-2</v>
      </c>
    </row>
    <row r="225" spans="16:20" ht="15" customHeight="1">
      <c r="P225" s="53">
        <v>45705</v>
      </c>
      <c r="Q225" s="41">
        <v>21076</v>
      </c>
      <c r="R225" s="41">
        <v>2014.42114257812</v>
      </c>
      <c r="S225" s="41">
        <f t="shared" si="5"/>
        <v>1.2706848304079935E-2</v>
      </c>
      <c r="T225" s="41">
        <f t="shared" si="5"/>
        <v>2.896080815709318E-2</v>
      </c>
    </row>
    <row r="226" spans="16:20" ht="15" customHeight="1">
      <c r="P226" s="53">
        <v>45706</v>
      </c>
      <c r="Q226" s="41">
        <v>20969.19921875</v>
      </c>
      <c r="R226" s="41">
        <v>2001.05432128906</v>
      </c>
      <c r="S226" s="41">
        <f t="shared" si="5"/>
        <v>-5.0674122817422661E-3</v>
      </c>
      <c r="T226" s="41">
        <f t="shared" si="5"/>
        <v>-6.6355644341345218E-3</v>
      </c>
    </row>
    <row r="227" spans="16:20" ht="15" customHeight="1">
      <c r="P227" s="53">
        <v>45707</v>
      </c>
      <c r="Q227" s="41">
        <v>20820</v>
      </c>
      <c r="R227" s="41">
        <v>1966.02221679687</v>
      </c>
      <c r="S227" s="41">
        <f t="shared" si="5"/>
        <v>-7.1151605358678047E-3</v>
      </c>
      <c r="T227" s="41">
        <f t="shared" si="5"/>
        <v>-1.7506823337820561E-2</v>
      </c>
    </row>
    <row r="228" spans="16:20" ht="15" customHeight="1">
      <c r="P228" s="53">
        <v>45708</v>
      </c>
      <c r="Q228" s="41">
        <v>20785.75</v>
      </c>
      <c r="R228" s="41">
        <v>1965.27685546875</v>
      </c>
      <c r="S228" s="41">
        <f t="shared" si="5"/>
        <v>-1.6450528338136407E-3</v>
      </c>
      <c r="T228" s="41">
        <f t="shared" si="5"/>
        <v>-3.7912151844060707E-4</v>
      </c>
    </row>
    <row r="229" spans="16:20" ht="15" customHeight="1">
      <c r="P229" s="53">
        <v>45709</v>
      </c>
      <c r="Q229" s="41">
        <v>20385.650390625</v>
      </c>
      <c r="R229" s="41">
        <v>1893.57275390625</v>
      </c>
      <c r="S229" s="41">
        <f t="shared" si="5"/>
        <v>-1.9248745384458102E-2</v>
      </c>
      <c r="T229" s="41">
        <f t="shared" si="5"/>
        <v>-3.6485496363003481E-2</v>
      </c>
    </row>
    <row r="230" spans="16:20" ht="15" customHeight="1">
      <c r="P230" s="53">
        <v>45712</v>
      </c>
      <c r="Q230" s="41">
        <v>20389.69921875</v>
      </c>
      <c r="R230" s="41">
        <v>1891.03857421875</v>
      </c>
      <c r="S230" s="41">
        <f t="shared" si="5"/>
        <v>1.9861167279028706E-4</v>
      </c>
      <c r="T230" s="41">
        <f t="shared" si="5"/>
        <v>-1.3383059522124208E-3</v>
      </c>
    </row>
    <row r="231" spans="16:20" ht="15" customHeight="1">
      <c r="P231" s="53">
        <v>45713</v>
      </c>
      <c r="Q231" s="41">
        <v>20249.150390625</v>
      </c>
      <c r="R231" s="41">
        <v>1887.46081542968</v>
      </c>
      <c r="S231" s="41">
        <f t="shared" si="5"/>
        <v>-6.893129055859433E-3</v>
      </c>
      <c r="T231" s="41">
        <f t="shared" si="5"/>
        <v>-1.891954420098539E-3</v>
      </c>
    </row>
    <row r="232" spans="16:20" ht="15" customHeight="1">
      <c r="P232" s="53">
        <v>45715</v>
      </c>
      <c r="Q232" s="41">
        <v>20201.25</v>
      </c>
      <c r="R232" s="41">
        <v>1879.36120605468</v>
      </c>
      <c r="S232" s="41">
        <f t="shared" si="5"/>
        <v>-2.3655506379752621E-3</v>
      </c>
      <c r="T232" s="41">
        <f t="shared" si="5"/>
        <v>-4.2912728618189223E-3</v>
      </c>
    </row>
    <row r="233" spans="16:20" ht="15" customHeight="1">
      <c r="P233" s="53">
        <v>45716</v>
      </c>
      <c r="Q233" s="41">
        <v>19813.5</v>
      </c>
      <c r="R233" s="41">
        <v>1892.87719726562</v>
      </c>
      <c r="S233" s="41">
        <f t="shared" si="5"/>
        <v>-1.9194356784852422E-2</v>
      </c>
      <c r="T233" s="41">
        <f t="shared" si="5"/>
        <v>7.1918006859968955E-3</v>
      </c>
    </row>
    <row r="234" spans="16:20" ht="15" customHeight="1">
      <c r="P234" s="53">
        <v>45719</v>
      </c>
      <c r="Q234" s="41">
        <v>19879.80078125</v>
      </c>
      <c r="R234" s="41">
        <v>1940.87854003906</v>
      </c>
      <c r="S234" s="41">
        <f t="shared" si="5"/>
        <v>3.3462427763898354E-3</v>
      </c>
      <c r="T234" s="41">
        <f t="shared" si="5"/>
        <v>2.5358931283435058E-2</v>
      </c>
    </row>
    <row r="235" spans="16:20" ht="15" customHeight="1">
      <c r="P235" s="53">
        <v>45720</v>
      </c>
      <c r="Q235" s="41">
        <v>19820.650390625</v>
      </c>
      <c r="R235" s="41">
        <v>1941.126953125</v>
      </c>
      <c r="S235" s="41">
        <f t="shared" si="5"/>
        <v>-2.9754015785102223E-3</v>
      </c>
      <c r="T235" s="41">
        <f t="shared" si="5"/>
        <v>1.2799002143379967E-4</v>
      </c>
    </row>
    <row r="236" spans="16:20" ht="15" customHeight="1">
      <c r="P236" s="53">
        <v>45721</v>
      </c>
      <c r="Q236" s="41">
        <v>20126.80078125</v>
      </c>
      <c r="R236" s="41">
        <v>1997.67529296875</v>
      </c>
      <c r="S236" s="41">
        <f t="shared" si="5"/>
        <v>1.544603151720019E-2</v>
      </c>
      <c r="T236" s="41">
        <f t="shared" si="5"/>
        <v>2.9131706070390409E-2</v>
      </c>
    </row>
    <row r="237" spans="16:20" ht="15" customHeight="1">
      <c r="P237" s="53">
        <v>45722</v>
      </c>
      <c r="Q237" s="41">
        <v>20423.349609375</v>
      </c>
      <c r="R237" s="41">
        <v>2006.0234375</v>
      </c>
      <c r="S237" s="41">
        <f t="shared" si="5"/>
        <v>1.4734027098895071E-2</v>
      </c>
      <c r="T237" s="41">
        <f t="shared" si="5"/>
        <v>4.1789296592059273E-3</v>
      </c>
    </row>
    <row r="238" spans="16:20" ht="15" customHeight="1">
      <c r="P238" s="53">
        <v>45723</v>
      </c>
      <c r="Q238" s="41">
        <v>20378.30078125</v>
      </c>
      <c r="R238" s="41">
        <v>2017.45227050781</v>
      </c>
      <c r="S238" s="41">
        <f t="shared" si="5"/>
        <v>-2.2057512105811026E-3</v>
      </c>
      <c r="T238" s="41">
        <f t="shared" si="5"/>
        <v>5.6972579652674171E-3</v>
      </c>
    </row>
    <row r="239" spans="16:20" ht="15" customHeight="1">
      <c r="P239" s="53">
        <v>45726</v>
      </c>
      <c r="Q239" s="41">
        <v>20256.55078125</v>
      </c>
      <c r="R239" s="41">
        <v>1997.97351074218</v>
      </c>
      <c r="S239" s="41">
        <f t="shared" si="5"/>
        <v>-5.9744922457922369E-3</v>
      </c>
      <c r="T239" s="41">
        <f t="shared" si="5"/>
        <v>-9.6551279305988405E-3</v>
      </c>
    </row>
    <row r="240" spans="16:20" ht="15" customHeight="1">
      <c r="P240" s="53">
        <v>45727</v>
      </c>
      <c r="Q240" s="41">
        <v>20332.099609375</v>
      </c>
      <c r="R240" s="41">
        <v>1963.88549804687</v>
      </c>
      <c r="S240" s="41">
        <f t="shared" si="5"/>
        <v>3.7295998188857501E-3</v>
      </c>
      <c r="T240" s="41">
        <f t="shared" si="5"/>
        <v>-1.706129361176938E-2</v>
      </c>
    </row>
    <row r="241" spans="16:20" ht="15" customHeight="1">
      <c r="P241" s="53">
        <v>45728</v>
      </c>
      <c r="Q241" s="41">
        <v>20424</v>
      </c>
      <c r="R241" s="41">
        <v>1954.54357910156</v>
      </c>
      <c r="S241" s="41">
        <f t="shared" si="5"/>
        <v>4.5199655908937869E-3</v>
      </c>
      <c r="T241" s="41">
        <f t="shared" si="5"/>
        <v>-4.7568552008764031E-3</v>
      </c>
    </row>
    <row r="242" spans="16:20" ht="15" customHeight="1">
      <c r="P242" s="53">
        <v>45729</v>
      </c>
      <c r="Q242" s="41">
        <v>20386.849609375</v>
      </c>
      <c r="R242" s="41">
        <v>1956.28271484375</v>
      </c>
      <c r="S242" s="41">
        <f t="shared" si="5"/>
        <v>-1.8189576295045045E-3</v>
      </c>
      <c r="T242" s="41">
        <f t="shared" si="5"/>
        <v>8.8979123350599592E-4</v>
      </c>
    </row>
    <row r="243" spans="16:20" ht="15" customHeight="1">
      <c r="P243" s="53">
        <v>45733</v>
      </c>
      <c r="Q243" s="41">
        <v>20703.94921875</v>
      </c>
      <c r="R243" s="41">
        <v>1979.5380859375</v>
      </c>
      <c r="S243" s="41">
        <f t="shared" si="5"/>
        <v>1.5554125107646847E-2</v>
      </c>
      <c r="T243" s="41">
        <f t="shared" si="5"/>
        <v>1.1887530834523284E-2</v>
      </c>
    </row>
    <row r="244" spans="16:20" ht="15" customHeight="1">
      <c r="P244" s="53">
        <v>45734</v>
      </c>
      <c r="Q244" s="41">
        <v>21041.30078125</v>
      </c>
      <c r="R244" s="41">
        <v>1979.5380859375</v>
      </c>
      <c r="S244" s="41">
        <f t="shared" si="5"/>
        <v>1.6294068292752872E-2</v>
      </c>
      <c r="T244" s="41">
        <f t="shared" si="5"/>
        <v>0</v>
      </c>
    </row>
    <row r="245" spans="16:20" ht="15" customHeight="1">
      <c r="P245" s="53">
        <v>45735</v>
      </c>
      <c r="Q245" s="41">
        <v>21145.650390625</v>
      </c>
      <c r="R245" s="41">
        <v>2048.2109375</v>
      </c>
      <c r="S245" s="41">
        <f t="shared" si="5"/>
        <v>4.9592755913639344E-3</v>
      </c>
      <c r="T245" s="41">
        <f t="shared" si="5"/>
        <v>3.4691351507883141E-2</v>
      </c>
    </row>
    <row r="246" spans="16:20" ht="15" customHeight="1">
      <c r="P246" s="53">
        <v>45736</v>
      </c>
      <c r="Q246" s="41">
        <v>21340.599609375</v>
      </c>
      <c r="R246" s="41">
        <v>2072.80810546875</v>
      </c>
      <c r="S246" s="41">
        <f t="shared" si="5"/>
        <v>9.2193531600442725E-3</v>
      </c>
      <c r="T246" s="41">
        <f t="shared" si="5"/>
        <v>1.2009099023156642E-2</v>
      </c>
    </row>
    <row r="247" spans="16:20" ht="15" customHeight="1">
      <c r="P247" s="53">
        <v>45737</v>
      </c>
      <c r="Q247" s="41">
        <v>21625.900390625</v>
      </c>
      <c r="R247" s="41">
        <v>2101.62866210937</v>
      </c>
      <c r="S247" s="41">
        <f t="shared" si="5"/>
        <v>1.3368920577314349E-2</v>
      </c>
      <c r="T247" s="41">
        <f t="shared" si="5"/>
        <v>1.3904112283516203E-2</v>
      </c>
    </row>
    <row r="248" spans="16:20" ht="15" customHeight="1">
      <c r="P248" s="53">
        <v>45740</v>
      </c>
      <c r="Q248" s="41">
        <v>21771.150390625</v>
      </c>
      <c r="R248" s="41">
        <v>2106.84619140625</v>
      </c>
      <c r="S248" s="41">
        <f t="shared" si="5"/>
        <v>6.7164833545135085E-3</v>
      </c>
      <c r="T248" s="41">
        <f t="shared" si="5"/>
        <v>2.4826123619970304E-3</v>
      </c>
    </row>
    <row r="249" spans="16:20" ht="15" customHeight="1">
      <c r="P249" s="53">
        <v>45741</v>
      </c>
      <c r="Q249" s="41">
        <v>21542.5</v>
      </c>
      <c r="R249" s="41">
        <v>2055.962890625</v>
      </c>
      <c r="S249" s="41">
        <f t="shared" si="5"/>
        <v>-1.0502448723309563E-2</v>
      </c>
      <c r="T249" s="41">
        <f t="shared" si="5"/>
        <v>-2.415140743961337E-2</v>
      </c>
    </row>
    <row r="250" spans="16:20" ht="15" customHeight="1">
      <c r="P250" s="53">
        <v>45742</v>
      </c>
      <c r="Q250" s="41">
        <v>21360.599609375</v>
      </c>
      <c r="R250" s="41">
        <v>2046.07434082031</v>
      </c>
      <c r="S250" s="41">
        <f t="shared" si="5"/>
        <v>-8.4437920680051053E-3</v>
      </c>
      <c r="T250" s="41">
        <f t="shared" si="5"/>
        <v>-4.8096927477537998E-3</v>
      </c>
    </row>
    <row r="251" spans="16:20" ht="15" customHeight="1">
      <c r="P251" s="53">
        <v>45743</v>
      </c>
      <c r="Q251" s="41">
        <v>21275.150390625</v>
      </c>
      <c r="R251" s="41">
        <v>2006.32165527343</v>
      </c>
      <c r="S251" s="41">
        <f t="shared" si="5"/>
        <v>-4.0003192940565677E-3</v>
      </c>
      <c r="T251" s="41">
        <f t="shared" si="5"/>
        <v>-1.9428759138312834E-2</v>
      </c>
    </row>
    <row r="252" spans="16:20" ht="15" customHeight="1">
      <c r="P252" s="53">
        <v>45744</v>
      </c>
      <c r="Q252" s="41">
        <v>21137.44921875</v>
      </c>
      <c r="R252" s="41">
        <v>2015.41491699218</v>
      </c>
      <c r="S252" s="41">
        <f t="shared" si="5"/>
        <v>-6.4723947585197186E-3</v>
      </c>
      <c r="T252" s="41">
        <f t="shared" si="5"/>
        <v>4.5323050243958676E-3</v>
      </c>
    </row>
  </sheetData>
  <mergeCells count="2">
    <mergeCell ref="C2:F2"/>
    <mergeCell ref="P2:T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3B4C9-1B46-4923-BE30-5B88F3F7B306}">
  <dimension ref="A2:I252"/>
  <sheetViews>
    <sheetView workbookViewId="0">
      <selection sqref="A1:I1048576"/>
    </sheetView>
  </sheetViews>
  <sheetFormatPr defaultRowHeight="14.4"/>
  <cols>
    <col min="1" max="1" width="11.109375" bestFit="1" customWidth="1"/>
    <col min="2" max="2" width="12.6640625" bestFit="1" customWidth="1"/>
    <col min="3" max="3" width="12" bestFit="1" customWidth="1"/>
    <col min="8" max="8" width="25.6640625" bestFit="1" customWidth="1"/>
    <col min="9" max="9" width="15.6640625" bestFit="1" customWidth="1"/>
  </cols>
  <sheetData>
    <row r="2" spans="1:9">
      <c r="C2" t="s">
        <v>155</v>
      </c>
    </row>
    <row r="3" spans="1:9">
      <c r="A3" t="s">
        <v>1</v>
      </c>
      <c r="B3" t="s">
        <v>2</v>
      </c>
      <c r="C3" t="s">
        <v>2</v>
      </c>
      <c r="D3" t="s">
        <v>3</v>
      </c>
      <c r="E3" t="s">
        <v>3</v>
      </c>
      <c r="H3" t="s">
        <v>142</v>
      </c>
      <c r="I3" t="s">
        <v>143</v>
      </c>
    </row>
    <row r="4" spans="1:9">
      <c r="A4" t="s">
        <v>6</v>
      </c>
      <c r="B4" t="s">
        <v>7</v>
      </c>
      <c r="C4" t="s">
        <v>155</v>
      </c>
      <c r="D4" t="s">
        <v>8</v>
      </c>
      <c r="E4" t="s">
        <v>9</v>
      </c>
      <c r="H4">
        <f>_xlfn.COVARIANCE.S(D7:D252,E7:E252)</f>
        <v>1.0872478940574695E-4</v>
      </c>
      <c r="I4">
        <f>_xlfn.VAR.S(D7:D252)</f>
        <v>1.0123143075821166E-4</v>
      </c>
    </row>
    <row r="5" spans="1:9">
      <c r="A5" t="s">
        <v>10</v>
      </c>
    </row>
    <row r="6" spans="1:9">
      <c r="A6" s="2">
        <v>45383</v>
      </c>
      <c r="B6">
        <v>19207.900390625</v>
      </c>
      <c r="C6">
        <v>3530.11083984375</v>
      </c>
      <c r="H6" t="s">
        <v>11</v>
      </c>
    </row>
    <row r="7" spans="1:9">
      <c r="A7" s="2">
        <v>45384</v>
      </c>
      <c r="B7">
        <v>19185.150390625</v>
      </c>
      <c r="C7">
        <v>3584.08227539062</v>
      </c>
      <c r="D7">
        <f>(B7-B6)/B6</f>
        <v>-1.1844084744995777E-3</v>
      </c>
      <c r="E7">
        <f>(C7-C6)/C6</f>
        <v>1.5288878450416838E-2</v>
      </c>
      <c r="H7">
        <f>H4/I4</f>
        <v>1.0740220561085712</v>
      </c>
    </row>
    <row r="8" spans="1:9">
      <c r="A8" s="2">
        <v>45385</v>
      </c>
      <c r="B8">
        <v>19153.05078125</v>
      </c>
      <c r="C8">
        <v>3645.82055664062</v>
      </c>
      <c r="D8">
        <f t="shared" ref="D8:D71" si="0">(B8-B7)/B7</f>
        <v>-1.6731486968528414E-3</v>
      </c>
      <c r="E8">
        <f t="shared" ref="E8:E71" si="1">(C8-C7)/C7</f>
        <v>1.7225687499953193E-2</v>
      </c>
    </row>
    <row r="9" spans="1:9">
      <c r="A9" s="2">
        <v>45386</v>
      </c>
      <c r="B9">
        <v>19125.19921875</v>
      </c>
      <c r="C9">
        <v>3694.59765625</v>
      </c>
      <c r="D9">
        <f t="shared" si="0"/>
        <v>-1.4541580251677432E-3</v>
      </c>
      <c r="E9">
        <f t="shared" si="1"/>
        <v>1.3378908493051244E-2</v>
      </c>
      <c r="H9" t="s">
        <v>12</v>
      </c>
    </row>
    <row r="10" spans="1:9">
      <c r="A10" s="2">
        <v>45387</v>
      </c>
      <c r="B10">
        <v>19160.75</v>
      </c>
      <c r="C10">
        <v>3708.39965820312</v>
      </c>
      <c r="D10">
        <f t="shared" si="0"/>
        <v>1.8588450161160495E-3</v>
      </c>
      <c r="E10">
        <f t="shared" si="1"/>
        <v>3.735725304153678E-3</v>
      </c>
      <c r="H10">
        <f>AVERAGE(D7:D252)</f>
        <v>4.3962859287504746E-4</v>
      </c>
    </row>
    <row r="11" spans="1:9">
      <c r="A11" s="2">
        <v>45390</v>
      </c>
      <c r="B11">
        <v>19218.849609375</v>
      </c>
      <c r="C11">
        <v>3755.74243164062</v>
      </c>
      <c r="D11">
        <f t="shared" si="0"/>
        <v>3.0322200005219002E-3</v>
      </c>
      <c r="E11">
        <f t="shared" si="1"/>
        <v>1.2766362258926434E-2</v>
      </c>
    </row>
    <row r="12" spans="1:9">
      <c r="A12" s="2">
        <v>45391</v>
      </c>
      <c r="B12">
        <v>19182.30078125</v>
      </c>
      <c r="C12">
        <v>3764.59741210937</v>
      </c>
      <c r="D12">
        <f t="shared" si="0"/>
        <v>-1.901717785812289E-3</v>
      </c>
      <c r="E12">
        <f t="shared" si="1"/>
        <v>2.3577177162497484E-3</v>
      </c>
    </row>
    <row r="13" spans="1:9">
      <c r="A13" s="2">
        <v>45392</v>
      </c>
      <c r="B13">
        <v>19117</v>
      </c>
      <c r="C13">
        <v>3699.44604492187</v>
      </c>
      <c r="D13">
        <f t="shared" si="0"/>
        <v>-3.4042204840114454E-3</v>
      </c>
      <c r="E13">
        <f t="shared" si="1"/>
        <v>-1.7306330546244132E-2</v>
      </c>
    </row>
    <row r="14" spans="1:9">
      <c r="A14" s="2">
        <v>45394</v>
      </c>
      <c r="B14">
        <v>18788.650390625</v>
      </c>
      <c r="C14">
        <v>3739.615234375</v>
      </c>
      <c r="D14">
        <f t="shared" si="0"/>
        <v>-1.717579167102579E-2</v>
      </c>
      <c r="E14">
        <f t="shared" si="1"/>
        <v>1.0858163348069143E-2</v>
      </c>
    </row>
    <row r="15" spans="1:9">
      <c r="A15" s="2">
        <v>45397</v>
      </c>
      <c r="B15">
        <v>18617.650390625</v>
      </c>
      <c r="C15">
        <v>3677.13500976562</v>
      </c>
      <c r="D15">
        <f t="shared" si="0"/>
        <v>-9.1012391228123615E-3</v>
      </c>
      <c r="E15">
        <f t="shared" si="1"/>
        <v>-1.6707661268211271E-2</v>
      </c>
    </row>
    <row r="16" spans="1:9">
      <c r="A16" s="2">
        <v>45398</v>
      </c>
      <c r="B16">
        <v>18695.599609375</v>
      </c>
      <c r="C16">
        <v>3724.27954101562</v>
      </c>
      <c r="D16">
        <f t="shared" si="0"/>
        <v>4.1868451235528448E-3</v>
      </c>
      <c r="E16">
        <f t="shared" si="1"/>
        <v>1.2820995455645504E-2</v>
      </c>
    </row>
    <row r="17" spans="1:5">
      <c r="A17" s="2">
        <v>45400</v>
      </c>
      <c r="B17">
        <v>18525.75</v>
      </c>
      <c r="C17">
        <v>3669.56591796875</v>
      </c>
      <c r="D17">
        <f t="shared" si="0"/>
        <v>-9.0850046494271343E-3</v>
      </c>
      <c r="E17">
        <f t="shared" si="1"/>
        <v>-1.4691062377114008E-2</v>
      </c>
    </row>
    <row r="18" spans="1:5">
      <c r="A18" s="2">
        <v>45401</v>
      </c>
      <c r="B18">
        <v>18404.599609375</v>
      </c>
      <c r="C18">
        <v>3632.76049804687</v>
      </c>
      <c r="D18">
        <f t="shared" si="0"/>
        <v>-6.5395673926831573E-3</v>
      </c>
      <c r="E18">
        <f t="shared" si="1"/>
        <v>-1.0029911097019688E-2</v>
      </c>
    </row>
    <row r="19" spans="1:5">
      <c r="A19" s="2">
        <v>45404</v>
      </c>
      <c r="B19">
        <v>18643</v>
      </c>
      <c r="C19">
        <v>3697.86279296875</v>
      </c>
      <c r="D19">
        <f t="shared" si="0"/>
        <v>1.2953304917514357E-2</v>
      </c>
      <c r="E19">
        <f t="shared" si="1"/>
        <v>1.7920888249275398E-2</v>
      </c>
    </row>
    <row r="20" spans="1:5">
      <c r="A20" s="2">
        <v>45405</v>
      </c>
      <c r="B20">
        <v>18463.75</v>
      </c>
      <c r="C20">
        <v>3728.68212890625</v>
      </c>
      <c r="D20">
        <f t="shared" si="0"/>
        <v>-9.6148688515796821E-3</v>
      </c>
      <c r="E20">
        <f t="shared" si="1"/>
        <v>8.334364378283856E-3</v>
      </c>
    </row>
    <row r="21" spans="1:5">
      <c r="A21" s="2">
        <v>45406</v>
      </c>
      <c r="B21">
        <v>18586.19921875</v>
      </c>
      <c r="C21">
        <v>3773.353515625</v>
      </c>
      <c r="D21">
        <f t="shared" si="0"/>
        <v>6.6318715726761896E-3</v>
      </c>
      <c r="E21">
        <f t="shared" si="1"/>
        <v>1.1980475989744303E-2</v>
      </c>
    </row>
    <row r="22" spans="1:5">
      <c r="A22" s="2">
        <v>45407</v>
      </c>
      <c r="B22">
        <v>18878.150390625</v>
      </c>
      <c r="C22">
        <v>3803.03564453125</v>
      </c>
      <c r="D22">
        <f t="shared" si="0"/>
        <v>1.5707954511779677E-2</v>
      </c>
      <c r="E22">
        <f t="shared" si="1"/>
        <v>7.8662465054864066E-3</v>
      </c>
    </row>
    <row r="23" spans="1:5">
      <c r="A23" s="2">
        <v>45408</v>
      </c>
      <c r="B23">
        <v>18994.650390625</v>
      </c>
      <c r="C23">
        <v>3973.75561523437</v>
      </c>
      <c r="D23">
        <f t="shared" si="0"/>
        <v>6.1711554145608772E-3</v>
      </c>
      <c r="E23">
        <f t="shared" si="1"/>
        <v>4.4890447174381502E-2</v>
      </c>
    </row>
    <row r="24" spans="1:5">
      <c r="A24" s="2">
        <v>45411</v>
      </c>
      <c r="B24">
        <v>19096.900390625</v>
      </c>
      <c r="C24">
        <v>3946.94287109375</v>
      </c>
      <c r="D24">
        <f t="shared" si="0"/>
        <v>5.3830946028080888E-3</v>
      </c>
      <c r="E24">
        <f t="shared" si="1"/>
        <v>-6.7474567479254999E-3</v>
      </c>
    </row>
    <row r="25" spans="1:5">
      <c r="A25" s="2">
        <v>45412</v>
      </c>
      <c r="B25">
        <v>18970.599609375</v>
      </c>
      <c r="C25">
        <v>3959.95336914062</v>
      </c>
      <c r="D25">
        <f t="shared" si="0"/>
        <v>-6.6136796373511613E-3</v>
      </c>
      <c r="E25">
        <f t="shared" si="1"/>
        <v>3.2963482046206097E-3</v>
      </c>
    </row>
    <row r="26" spans="1:5">
      <c r="A26" s="2">
        <v>45414</v>
      </c>
      <c r="B26">
        <v>19124.44921875</v>
      </c>
      <c r="C26">
        <v>3922.60375976562</v>
      </c>
      <c r="D26">
        <f t="shared" si="0"/>
        <v>8.1098970271329604E-3</v>
      </c>
      <c r="E26">
        <f t="shared" si="1"/>
        <v>-9.4318306033753952E-3</v>
      </c>
    </row>
    <row r="27" spans="1:5">
      <c r="A27" s="2">
        <v>45415</v>
      </c>
      <c r="B27">
        <v>19133.400390625</v>
      </c>
      <c r="C27">
        <v>3909.048828125</v>
      </c>
      <c r="D27">
        <f t="shared" si="0"/>
        <v>4.6804861006005281E-4</v>
      </c>
      <c r="E27">
        <f t="shared" si="1"/>
        <v>-3.4555954337406542E-3</v>
      </c>
    </row>
    <row r="28" spans="1:5">
      <c r="A28" s="2">
        <v>45418</v>
      </c>
      <c r="B28">
        <v>19203.30078125</v>
      </c>
      <c r="C28">
        <v>3920.97119140625</v>
      </c>
      <c r="D28">
        <f t="shared" si="0"/>
        <v>3.6533177165544422E-3</v>
      </c>
      <c r="E28">
        <f t="shared" si="1"/>
        <v>3.0499397181919154E-3</v>
      </c>
    </row>
    <row r="29" spans="1:5">
      <c r="A29" s="2">
        <v>45419</v>
      </c>
      <c r="B29">
        <v>18846.30078125</v>
      </c>
      <c r="C29">
        <v>3869.91821289062</v>
      </c>
      <c r="D29">
        <f t="shared" si="0"/>
        <v>-1.8590553992081031E-2</v>
      </c>
      <c r="E29">
        <f t="shared" si="1"/>
        <v>-1.3020493144026373E-2</v>
      </c>
    </row>
    <row r="30" spans="1:5">
      <c r="A30" s="2">
        <v>45420</v>
      </c>
      <c r="B30">
        <v>18850.849609375</v>
      </c>
      <c r="C30">
        <v>3885.69946289062</v>
      </c>
      <c r="D30">
        <f t="shared" si="0"/>
        <v>2.4136450849418601E-4</v>
      </c>
      <c r="E30">
        <f t="shared" si="1"/>
        <v>4.0779285586535069E-3</v>
      </c>
    </row>
    <row r="31" spans="1:5">
      <c r="A31" s="2">
        <v>45421</v>
      </c>
      <c r="B31">
        <v>18437.05078125</v>
      </c>
      <c r="C31">
        <v>3749.75634765625</v>
      </c>
      <c r="D31">
        <f t="shared" si="0"/>
        <v>-2.1951203086316463E-2</v>
      </c>
      <c r="E31">
        <f t="shared" si="1"/>
        <v>-3.4985493997325319E-2</v>
      </c>
    </row>
    <row r="32" spans="1:5">
      <c r="A32" s="2">
        <v>45422</v>
      </c>
      <c r="B32">
        <v>18609.44921875</v>
      </c>
      <c r="C32">
        <v>3753.26879882812</v>
      </c>
      <c r="D32">
        <f t="shared" si="0"/>
        <v>9.3506515518916242E-3</v>
      </c>
      <c r="E32">
        <f t="shared" si="1"/>
        <v>9.3671450788140474E-4</v>
      </c>
    </row>
    <row r="33" spans="1:5">
      <c r="A33" s="2">
        <v>45425</v>
      </c>
      <c r="B33">
        <v>18939</v>
      </c>
      <c r="C33">
        <v>3870.01733398437</v>
      </c>
      <c r="D33">
        <f t="shared" si="0"/>
        <v>1.7708787475448774E-2</v>
      </c>
      <c r="E33">
        <f t="shared" si="1"/>
        <v>3.1105828389563332E-2</v>
      </c>
    </row>
    <row r="34" spans="1:5">
      <c r="A34" s="2">
        <v>45426</v>
      </c>
      <c r="B34">
        <v>18860.849609375</v>
      </c>
      <c r="C34">
        <v>3854.87963867187</v>
      </c>
      <c r="D34">
        <f t="shared" si="0"/>
        <v>-4.1264264546702571E-3</v>
      </c>
      <c r="E34">
        <f t="shared" si="1"/>
        <v>-3.9115316563492009E-3</v>
      </c>
    </row>
    <row r="35" spans="1:5">
      <c r="A35" s="2">
        <v>45427</v>
      </c>
      <c r="B35">
        <v>18886.55078125</v>
      </c>
      <c r="C35">
        <v>3851.26831054687</v>
      </c>
      <c r="D35">
        <f t="shared" si="0"/>
        <v>1.3626730718548829E-3</v>
      </c>
      <c r="E35">
        <f t="shared" si="1"/>
        <v>-9.368199434222073E-4</v>
      </c>
    </row>
    <row r="36" spans="1:5">
      <c r="A36" s="2">
        <v>45428</v>
      </c>
      <c r="B36">
        <v>18996.150390625</v>
      </c>
      <c r="C36">
        <v>3889.458984375</v>
      </c>
      <c r="D36">
        <f t="shared" si="0"/>
        <v>5.8030505752171115E-3</v>
      </c>
      <c r="E36">
        <f t="shared" si="1"/>
        <v>9.9163887708221057E-3</v>
      </c>
    </row>
    <row r="37" spans="1:5">
      <c r="A37" s="2">
        <v>45429</v>
      </c>
      <c r="B37">
        <v>18981.599609375</v>
      </c>
      <c r="C37">
        <v>3869.275390625</v>
      </c>
      <c r="D37">
        <f t="shared" si="0"/>
        <v>-7.6598578926713055E-4</v>
      </c>
      <c r="E37">
        <f t="shared" si="1"/>
        <v>-5.1893062328418711E-3</v>
      </c>
    </row>
    <row r="38" spans="1:5">
      <c r="A38" s="2">
        <v>45433</v>
      </c>
      <c r="B38">
        <v>19205.19921875</v>
      </c>
      <c r="C38">
        <v>3973.95336914062</v>
      </c>
      <c r="D38">
        <f t="shared" si="0"/>
        <v>1.17798085502006E-2</v>
      </c>
      <c r="E38">
        <f t="shared" si="1"/>
        <v>2.7053638717277107E-2</v>
      </c>
    </row>
    <row r="39" spans="1:5">
      <c r="A39" s="2">
        <v>45434</v>
      </c>
      <c r="B39">
        <v>19317.400390625</v>
      </c>
      <c r="C39">
        <v>4015.50805664062</v>
      </c>
      <c r="D39">
        <f t="shared" si="0"/>
        <v>5.842229002522307E-3</v>
      </c>
      <c r="E39">
        <f t="shared" si="1"/>
        <v>1.0456762734733933E-2</v>
      </c>
    </row>
    <row r="40" spans="1:5">
      <c r="A40" s="2">
        <v>45435</v>
      </c>
      <c r="B40">
        <v>19216.349609375</v>
      </c>
      <c r="C40">
        <v>4069.38037109375</v>
      </c>
      <c r="D40">
        <f t="shared" si="0"/>
        <v>-5.2310755695182121E-3</v>
      </c>
      <c r="E40">
        <f t="shared" si="1"/>
        <v>1.3416064341855575E-2</v>
      </c>
    </row>
    <row r="41" spans="1:5">
      <c r="A41" s="2">
        <v>45436</v>
      </c>
      <c r="B41">
        <v>19119.5</v>
      </c>
      <c r="C41">
        <v>4078.6806640625</v>
      </c>
      <c r="D41">
        <f t="shared" si="0"/>
        <v>-5.0399587509456214E-3</v>
      </c>
      <c r="E41">
        <f t="shared" si="1"/>
        <v>2.2854322085036028E-3</v>
      </c>
    </row>
    <row r="42" spans="1:5">
      <c r="A42" s="2">
        <v>45439</v>
      </c>
      <c r="B42">
        <v>19111.94921875</v>
      </c>
      <c r="C42">
        <v>4210.12158203125</v>
      </c>
      <c r="D42">
        <f t="shared" si="0"/>
        <v>-3.9492566489709459E-4</v>
      </c>
      <c r="E42">
        <f t="shared" si="1"/>
        <v>3.2226332187975347E-2</v>
      </c>
    </row>
    <row r="43" spans="1:5">
      <c r="A43" s="2">
        <v>45440</v>
      </c>
      <c r="B43">
        <v>19215.75</v>
      </c>
      <c r="C43">
        <v>4345.5205078125</v>
      </c>
      <c r="D43">
        <f t="shared" si="0"/>
        <v>5.4311980458887485E-3</v>
      </c>
      <c r="E43">
        <f t="shared" si="1"/>
        <v>3.2160336261815109E-2</v>
      </c>
    </row>
    <row r="44" spans="1:5">
      <c r="A44" s="2">
        <v>45441</v>
      </c>
      <c r="B44">
        <v>19321.349609375</v>
      </c>
      <c r="C44">
        <v>4400.82763671875</v>
      </c>
      <c r="D44">
        <f t="shared" si="0"/>
        <v>5.4954716508593213E-3</v>
      </c>
      <c r="E44">
        <f t="shared" si="1"/>
        <v>1.2727388768921301E-2</v>
      </c>
    </row>
    <row r="45" spans="1:5">
      <c r="A45" s="2">
        <v>45442</v>
      </c>
      <c r="B45">
        <v>18971</v>
      </c>
      <c r="C45">
        <v>4366.0009765625</v>
      </c>
      <c r="D45">
        <f t="shared" si="0"/>
        <v>-1.8132771077492706E-2</v>
      </c>
      <c r="E45">
        <f t="shared" si="1"/>
        <v>-7.9136614816881813E-3</v>
      </c>
    </row>
    <row r="46" spans="1:5">
      <c r="A46" s="2">
        <v>45443</v>
      </c>
      <c r="B46">
        <v>18796.30078125</v>
      </c>
      <c r="C46">
        <v>4261.52099609375</v>
      </c>
      <c r="D46">
        <f t="shared" si="0"/>
        <v>-9.2087511860207694E-3</v>
      </c>
      <c r="E46">
        <f t="shared" si="1"/>
        <v>-2.3930361222917227E-2</v>
      </c>
    </row>
    <row r="47" spans="1:5">
      <c r="A47" s="2">
        <v>45446</v>
      </c>
      <c r="B47">
        <v>18864.150390625</v>
      </c>
      <c r="C47">
        <v>4276.06494140625</v>
      </c>
      <c r="D47">
        <f t="shared" si="0"/>
        <v>3.6097320512492796E-3</v>
      </c>
      <c r="E47">
        <f t="shared" si="1"/>
        <v>3.4128531399543632E-3</v>
      </c>
    </row>
    <row r="48" spans="1:5">
      <c r="A48" s="2">
        <v>45447</v>
      </c>
      <c r="B48">
        <v>18603.150390625</v>
      </c>
      <c r="C48">
        <v>4278.291015625</v>
      </c>
      <c r="D48">
        <f t="shared" si="0"/>
        <v>-1.3835767558856524E-2</v>
      </c>
      <c r="E48">
        <f t="shared" si="1"/>
        <v>5.2058943193176131E-4</v>
      </c>
    </row>
    <row r="49" spans="1:5">
      <c r="A49" s="2">
        <v>45448</v>
      </c>
      <c r="B49">
        <v>19281.25</v>
      </c>
      <c r="C49">
        <v>4454.94775390625</v>
      </c>
      <c r="D49">
        <f t="shared" si="0"/>
        <v>3.6450794362052043E-2</v>
      </c>
      <c r="E49">
        <f t="shared" si="1"/>
        <v>4.1291426327959332E-2</v>
      </c>
    </row>
    <row r="50" spans="1:5">
      <c r="A50" s="2">
        <v>45449</v>
      </c>
      <c r="B50">
        <v>19232.099609375</v>
      </c>
      <c r="C50">
        <v>4401.7177734375</v>
      </c>
      <c r="D50">
        <f t="shared" si="0"/>
        <v>-2.5491288492706645E-3</v>
      </c>
      <c r="E50">
        <f t="shared" si="1"/>
        <v>-1.194850835726999E-2</v>
      </c>
    </row>
    <row r="51" spans="1:5">
      <c r="A51" s="2">
        <v>45450</v>
      </c>
      <c r="B51">
        <v>19578</v>
      </c>
      <c r="C51">
        <v>4476.07080078125</v>
      </c>
      <c r="D51">
        <f t="shared" si="0"/>
        <v>1.7985576075967558E-2</v>
      </c>
      <c r="E51">
        <f t="shared" si="1"/>
        <v>1.6891820687014281E-2</v>
      </c>
    </row>
    <row r="52" spans="1:5">
      <c r="A52" s="2">
        <v>45453</v>
      </c>
      <c r="B52">
        <v>19774.69921875</v>
      </c>
      <c r="C52">
        <v>4488.14208984375</v>
      </c>
      <c r="D52">
        <f t="shared" si="0"/>
        <v>1.0046951616610482E-2</v>
      </c>
      <c r="E52">
        <f t="shared" si="1"/>
        <v>2.6968494467051519E-3</v>
      </c>
    </row>
    <row r="53" spans="1:5">
      <c r="A53" s="2">
        <v>45454</v>
      </c>
      <c r="B53">
        <v>19689.69921875</v>
      </c>
      <c r="C53">
        <v>4427.986328125</v>
      </c>
      <c r="D53">
        <f t="shared" si="0"/>
        <v>-4.2984218905036285E-3</v>
      </c>
      <c r="E53">
        <f t="shared" si="1"/>
        <v>-1.3403265875845803E-2</v>
      </c>
    </row>
    <row r="54" spans="1:5">
      <c r="A54" s="2">
        <v>45455</v>
      </c>
      <c r="B54">
        <v>19739.099609375</v>
      </c>
      <c r="C54">
        <v>4405.1318359375</v>
      </c>
      <c r="D54">
        <f t="shared" si="0"/>
        <v>2.5089459252865204E-3</v>
      </c>
      <c r="E54">
        <f t="shared" si="1"/>
        <v>-5.1613737021581037E-3</v>
      </c>
    </row>
    <row r="55" spans="1:5">
      <c r="A55" s="2">
        <v>45456</v>
      </c>
      <c r="B55">
        <v>19838.5</v>
      </c>
      <c r="C55">
        <v>4544.78466796875</v>
      </c>
      <c r="D55">
        <f t="shared" si="0"/>
        <v>5.0357104727203573E-3</v>
      </c>
      <c r="E55">
        <f t="shared" si="1"/>
        <v>3.1702304773706981E-2</v>
      </c>
    </row>
    <row r="56" spans="1:5">
      <c r="A56" s="2">
        <v>45457</v>
      </c>
      <c r="B56">
        <v>19895.650390625</v>
      </c>
      <c r="C56">
        <v>4539.9365234375</v>
      </c>
      <c r="D56">
        <f t="shared" si="0"/>
        <v>2.8807818446455126E-3</v>
      </c>
      <c r="E56">
        <f t="shared" si="1"/>
        <v>-1.0667490069264016E-3</v>
      </c>
    </row>
    <row r="57" spans="1:5">
      <c r="A57" s="2">
        <v>45461</v>
      </c>
      <c r="B57">
        <v>19826.650390625</v>
      </c>
      <c r="C57">
        <v>4516.09228515625</v>
      </c>
      <c r="D57">
        <f t="shared" si="0"/>
        <v>-3.4680947164468364E-3</v>
      </c>
      <c r="E57">
        <f t="shared" si="1"/>
        <v>-5.2521082967027649E-3</v>
      </c>
    </row>
    <row r="58" spans="1:5">
      <c r="A58" s="2">
        <v>45462</v>
      </c>
      <c r="B58">
        <v>19644.5</v>
      </c>
      <c r="C58">
        <v>4432.19140625</v>
      </c>
      <c r="D58">
        <f t="shared" si="0"/>
        <v>-9.1871489654717226E-3</v>
      </c>
      <c r="E58">
        <f t="shared" si="1"/>
        <v>-1.8578202926016415E-2</v>
      </c>
    </row>
    <row r="59" spans="1:5">
      <c r="A59" s="2">
        <v>45463</v>
      </c>
      <c r="B59">
        <v>19544.55078125</v>
      </c>
      <c r="C59">
        <v>4456.283203125</v>
      </c>
      <c r="D59">
        <f t="shared" si="0"/>
        <v>-5.0878983303214642E-3</v>
      </c>
      <c r="E59">
        <f t="shared" si="1"/>
        <v>5.4356399953817995E-3</v>
      </c>
    </row>
    <row r="60" spans="1:5">
      <c r="A60" s="2">
        <v>45464</v>
      </c>
      <c r="B60">
        <v>19528.400390625</v>
      </c>
      <c r="C60">
        <v>4474.19140625</v>
      </c>
      <c r="D60">
        <f t="shared" si="0"/>
        <v>-8.2633726432299601E-4</v>
      </c>
      <c r="E60">
        <f t="shared" si="1"/>
        <v>4.0186411654541494E-3</v>
      </c>
    </row>
    <row r="61" spans="1:5">
      <c r="A61" s="2">
        <v>45467</v>
      </c>
      <c r="B61">
        <v>19521.150390625</v>
      </c>
      <c r="C61">
        <v>4471.619140625</v>
      </c>
      <c r="D61">
        <f t="shared" si="0"/>
        <v>-3.7125416598281691E-4</v>
      </c>
      <c r="E61">
        <f t="shared" si="1"/>
        <v>-5.7491184248550497E-4</v>
      </c>
    </row>
    <row r="62" spans="1:5">
      <c r="A62" s="2">
        <v>45468</v>
      </c>
      <c r="B62">
        <v>19532.30078125</v>
      </c>
      <c r="C62">
        <v>4491.1591796875</v>
      </c>
      <c r="D62">
        <f t="shared" si="0"/>
        <v>5.7119536512330522E-4</v>
      </c>
      <c r="E62">
        <f t="shared" si="1"/>
        <v>4.369790549686412E-3</v>
      </c>
    </row>
    <row r="63" spans="1:5">
      <c r="A63" s="2">
        <v>45469</v>
      </c>
      <c r="B63">
        <v>19545.349609375</v>
      </c>
      <c r="C63">
        <v>4497.1455078125</v>
      </c>
      <c r="D63">
        <f t="shared" si="0"/>
        <v>6.6806405815367134E-4</v>
      </c>
      <c r="E63">
        <f t="shared" si="1"/>
        <v>1.3329138170107202E-3</v>
      </c>
    </row>
    <row r="64" spans="1:5">
      <c r="A64" s="2">
        <v>45470</v>
      </c>
      <c r="B64">
        <v>19514.80078125</v>
      </c>
      <c r="C64">
        <v>4474.3896484375</v>
      </c>
      <c r="D64">
        <f t="shared" si="0"/>
        <v>-1.5629716907364574E-3</v>
      </c>
      <c r="E64">
        <f t="shared" si="1"/>
        <v>-5.0600673995244818E-3</v>
      </c>
    </row>
    <row r="65" spans="1:5">
      <c r="A65" s="2">
        <v>45471</v>
      </c>
      <c r="B65">
        <v>19731.55078125</v>
      </c>
      <c r="C65">
        <v>4547.70361328125</v>
      </c>
      <c r="D65">
        <f t="shared" si="0"/>
        <v>1.1106954276891998E-2</v>
      </c>
      <c r="E65">
        <f t="shared" si="1"/>
        <v>1.6385243710134174E-2</v>
      </c>
    </row>
    <row r="66" spans="1:5">
      <c r="A66" s="2">
        <v>45474</v>
      </c>
      <c r="B66">
        <v>19758.25</v>
      </c>
      <c r="C66">
        <v>4553.29345703125</v>
      </c>
      <c r="D66">
        <f t="shared" si="0"/>
        <v>1.353123180534348E-3</v>
      </c>
      <c r="E66">
        <f t="shared" si="1"/>
        <v>1.2291574441384554E-3</v>
      </c>
    </row>
    <row r="67" spans="1:5">
      <c r="A67" s="2">
        <v>45475</v>
      </c>
      <c r="B67">
        <v>19786.400390625</v>
      </c>
      <c r="C67">
        <v>4522.96875</v>
      </c>
      <c r="D67">
        <f t="shared" si="0"/>
        <v>1.4247410891652854E-3</v>
      </c>
      <c r="E67">
        <f t="shared" si="1"/>
        <v>-6.6599500597577842E-3</v>
      </c>
    </row>
    <row r="68" spans="1:5">
      <c r="A68" s="2">
        <v>45476</v>
      </c>
      <c r="B68">
        <v>19915.30078125</v>
      </c>
      <c r="C68">
        <v>4510.798828125</v>
      </c>
      <c r="D68">
        <f t="shared" si="0"/>
        <v>6.514595281619507E-3</v>
      </c>
      <c r="E68">
        <f t="shared" si="1"/>
        <v>-2.6906933360970049E-3</v>
      </c>
    </row>
    <row r="69" spans="1:5">
      <c r="A69" s="2">
        <v>45477</v>
      </c>
      <c r="B69">
        <v>20192.599609375</v>
      </c>
      <c r="C69">
        <v>4495.85888671875</v>
      </c>
      <c r="D69">
        <f t="shared" si="0"/>
        <v>1.3923908615333255E-2</v>
      </c>
      <c r="E69">
        <f t="shared" si="1"/>
        <v>-3.3120389482011268E-3</v>
      </c>
    </row>
    <row r="70" spans="1:5">
      <c r="A70" s="2">
        <v>45478</v>
      </c>
      <c r="B70">
        <v>20453.849609375</v>
      </c>
      <c r="C70">
        <v>4580.6005859375</v>
      </c>
      <c r="D70">
        <f t="shared" si="0"/>
        <v>1.2937908196758732E-2</v>
      </c>
      <c r="E70">
        <f t="shared" si="1"/>
        <v>1.8848834305962334E-2</v>
      </c>
    </row>
    <row r="71" spans="1:5">
      <c r="A71" s="2">
        <v>45481</v>
      </c>
      <c r="B71">
        <v>20325.80078125</v>
      </c>
      <c r="C71">
        <v>4416.85595703125</v>
      </c>
      <c r="D71">
        <f t="shared" si="0"/>
        <v>-6.2603779029600844E-3</v>
      </c>
      <c r="E71">
        <f t="shared" si="1"/>
        <v>-3.5747414740535992E-2</v>
      </c>
    </row>
    <row r="72" spans="1:5">
      <c r="A72" s="2">
        <v>45482</v>
      </c>
      <c r="B72">
        <v>20645.80078125</v>
      </c>
      <c r="C72">
        <v>4503.67578125</v>
      </c>
      <c r="D72">
        <f t="shared" ref="D72:D135" si="2">(B72-B71)/B71</f>
        <v>1.5743537164606636E-2</v>
      </c>
      <c r="E72">
        <f t="shared" ref="E72:E135" si="3">(C72-C71)/C71</f>
        <v>1.965647624993077E-2</v>
      </c>
    </row>
    <row r="73" spans="1:5">
      <c r="A73" s="2">
        <v>45483</v>
      </c>
      <c r="B73">
        <v>20725.94921875</v>
      </c>
      <c r="C73">
        <v>4587.77392578125</v>
      </c>
      <c r="D73">
        <f t="shared" si="2"/>
        <v>3.8820696929706311E-3</v>
      </c>
      <c r="E73">
        <f t="shared" si="3"/>
        <v>1.8673223521411764E-2</v>
      </c>
    </row>
    <row r="74" spans="1:5">
      <c r="A74" s="2">
        <v>45484</v>
      </c>
      <c r="B74">
        <v>20601.69921875</v>
      </c>
      <c r="C74">
        <v>4533.9013671875</v>
      </c>
      <c r="D74">
        <f t="shared" si="2"/>
        <v>-5.9949003391167061E-3</v>
      </c>
      <c r="E74">
        <f t="shared" si="3"/>
        <v>-1.1742635854615715E-2</v>
      </c>
    </row>
    <row r="75" spans="1:5">
      <c r="A75" s="2">
        <v>45485</v>
      </c>
      <c r="B75">
        <v>20612.650390625</v>
      </c>
      <c r="C75">
        <v>4491.1591796875</v>
      </c>
      <c r="D75">
        <f t="shared" si="2"/>
        <v>5.3156643822045171E-4</v>
      </c>
      <c r="E75">
        <f t="shared" si="3"/>
        <v>-9.4272424648077693E-3</v>
      </c>
    </row>
    <row r="76" spans="1:5">
      <c r="A76" s="2">
        <v>45488</v>
      </c>
      <c r="B76">
        <v>20844.55078125</v>
      </c>
      <c r="C76">
        <v>4526.87646484375</v>
      </c>
      <c r="D76">
        <f t="shared" si="2"/>
        <v>1.125039168812917E-2</v>
      </c>
      <c r="E76">
        <f t="shared" si="3"/>
        <v>7.9527987602379408E-3</v>
      </c>
    </row>
    <row r="77" spans="1:5">
      <c r="A77" s="2">
        <v>45489</v>
      </c>
      <c r="B77">
        <v>20765.44921875</v>
      </c>
      <c r="C77">
        <v>4522.3251953125</v>
      </c>
      <c r="D77">
        <f t="shared" si="2"/>
        <v>-3.7948317202956034E-3</v>
      </c>
      <c r="E77">
        <f t="shared" si="3"/>
        <v>-1.0053884983598934E-3</v>
      </c>
    </row>
    <row r="78" spans="1:5">
      <c r="A78" s="2">
        <v>45491</v>
      </c>
      <c r="B78">
        <v>20768.349609375</v>
      </c>
      <c r="C78">
        <v>4536.1767578125</v>
      </c>
      <c r="D78">
        <f t="shared" si="2"/>
        <v>1.3967386857112221E-4</v>
      </c>
      <c r="E78">
        <f t="shared" si="3"/>
        <v>3.062929334307378E-3</v>
      </c>
    </row>
    <row r="79" spans="1:5">
      <c r="A79" s="2">
        <v>45492</v>
      </c>
      <c r="B79">
        <v>20425.400390625</v>
      </c>
      <c r="C79">
        <v>4471.86572265625</v>
      </c>
      <c r="D79">
        <f t="shared" si="2"/>
        <v>-1.6513070378745453E-2</v>
      </c>
      <c r="E79">
        <f t="shared" si="3"/>
        <v>-1.4177365343069874E-2</v>
      </c>
    </row>
    <row r="80" spans="1:5">
      <c r="A80" s="2">
        <v>45495</v>
      </c>
      <c r="B80">
        <v>20641.55078125</v>
      </c>
      <c r="C80">
        <v>4486.70703125</v>
      </c>
      <c r="D80">
        <f t="shared" si="2"/>
        <v>1.0582431016833838E-2</v>
      </c>
      <c r="E80">
        <f t="shared" si="3"/>
        <v>3.3188180312655698E-3</v>
      </c>
    </row>
    <row r="81" spans="1:5">
      <c r="A81" s="2">
        <v>45496</v>
      </c>
      <c r="B81">
        <v>20755.349609375</v>
      </c>
      <c r="C81">
        <v>4478.98974609375</v>
      </c>
      <c r="D81">
        <f t="shared" si="2"/>
        <v>5.5130948895744077E-3</v>
      </c>
      <c r="E81">
        <f t="shared" si="3"/>
        <v>-1.7200332231409275E-3</v>
      </c>
    </row>
    <row r="82" spans="1:5">
      <c r="A82" s="2">
        <v>45497</v>
      </c>
      <c r="B82">
        <v>20908.5</v>
      </c>
      <c r="C82">
        <v>4503.3291015625</v>
      </c>
      <c r="D82">
        <f t="shared" si="2"/>
        <v>7.3788393598450096E-3</v>
      </c>
      <c r="E82">
        <f t="shared" si="3"/>
        <v>5.4341172560122561E-3</v>
      </c>
    </row>
    <row r="83" spans="1:5">
      <c r="A83" s="2">
        <v>45498</v>
      </c>
      <c r="B83">
        <v>21105.5</v>
      </c>
      <c r="C83">
        <v>4498.77783203125</v>
      </c>
      <c r="D83">
        <f t="shared" si="2"/>
        <v>9.4220054045005622E-3</v>
      </c>
      <c r="E83">
        <f t="shared" si="3"/>
        <v>-1.0106455532354645E-3</v>
      </c>
    </row>
    <row r="84" spans="1:5">
      <c r="A84" s="2">
        <v>45499</v>
      </c>
      <c r="B84">
        <v>21603.099609375</v>
      </c>
      <c r="C84">
        <v>4739.79443359375</v>
      </c>
      <c r="D84">
        <f t="shared" si="2"/>
        <v>2.3576774270924642E-2</v>
      </c>
      <c r="E84">
        <f t="shared" si="3"/>
        <v>5.3573795053061826E-2</v>
      </c>
    </row>
    <row r="85" spans="1:5">
      <c r="A85" s="2">
        <v>45502</v>
      </c>
      <c r="B85">
        <v>21674.94921875</v>
      </c>
      <c r="C85">
        <v>4871.63134765625</v>
      </c>
      <c r="D85">
        <f t="shared" si="2"/>
        <v>3.3258935372320253E-3</v>
      </c>
      <c r="E85">
        <f t="shared" si="3"/>
        <v>2.7814901238773809E-2</v>
      </c>
    </row>
    <row r="86" spans="1:5">
      <c r="A86" s="2">
        <v>45503</v>
      </c>
      <c r="B86">
        <v>21540.80078125</v>
      </c>
      <c r="C86">
        <v>4860.2529296875</v>
      </c>
      <c r="D86">
        <f t="shared" si="2"/>
        <v>-6.1891004286162002E-3</v>
      </c>
      <c r="E86">
        <f t="shared" si="3"/>
        <v>-2.3356484012740774E-3</v>
      </c>
    </row>
    <row r="87" spans="1:5">
      <c r="A87" s="2">
        <v>45504</v>
      </c>
      <c r="B87">
        <v>21777.150390625</v>
      </c>
      <c r="C87">
        <v>4870.98828125</v>
      </c>
      <c r="D87">
        <f t="shared" si="2"/>
        <v>1.0972183057406503E-2</v>
      </c>
      <c r="E87">
        <f t="shared" si="3"/>
        <v>2.2088051214219939E-3</v>
      </c>
    </row>
    <row r="88" spans="1:5">
      <c r="A88" s="2">
        <v>45505</v>
      </c>
      <c r="B88">
        <v>21790.349609375</v>
      </c>
      <c r="C88">
        <v>4865.744140625</v>
      </c>
      <c r="D88">
        <f t="shared" si="2"/>
        <v>6.061040362600529E-4</v>
      </c>
      <c r="E88">
        <f t="shared" si="3"/>
        <v>-1.0766071117818911E-3</v>
      </c>
    </row>
    <row r="89" spans="1:5">
      <c r="A89" s="2">
        <v>45506</v>
      </c>
      <c r="B89">
        <v>21902.849609375</v>
      </c>
      <c r="C89">
        <v>4968.6259765625</v>
      </c>
      <c r="D89">
        <f t="shared" si="2"/>
        <v>5.1628359350231997E-3</v>
      </c>
      <c r="E89">
        <f t="shared" si="3"/>
        <v>2.1144111355654829E-2</v>
      </c>
    </row>
    <row r="90" spans="1:5">
      <c r="A90" s="2">
        <v>45509</v>
      </c>
      <c r="B90">
        <v>21583.05078125</v>
      </c>
      <c r="C90">
        <v>4805.07080078125</v>
      </c>
      <c r="D90">
        <f t="shared" si="2"/>
        <v>-1.4600786373847796E-2</v>
      </c>
      <c r="E90">
        <f t="shared" si="3"/>
        <v>-3.2917586582841198E-2</v>
      </c>
    </row>
    <row r="91" spans="1:5">
      <c r="A91" s="2">
        <v>45510</v>
      </c>
      <c r="B91">
        <v>21562.55078125</v>
      </c>
      <c r="C91">
        <v>4805.66748046875</v>
      </c>
      <c r="D91">
        <f t="shared" si="2"/>
        <v>-9.4981938409787337E-4</v>
      </c>
      <c r="E91">
        <f t="shared" si="3"/>
        <v>1.2417708546625091E-4</v>
      </c>
    </row>
    <row r="92" spans="1:5">
      <c r="A92" s="2">
        <v>45511</v>
      </c>
      <c r="B92">
        <v>22036.94921875</v>
      </c>
      <c r="C92">
        <v>4924.07861328125</v>
      </c>
      <c r="D92">
        <f t="shared" si="2"/>
        <v>2.2001035142489699E-2</v>
      </c>
      <c r="E92">
        <f t="shared" si="3"/>
        <v>2.4639893062461751E-2</v>
      </c>
    </row>
    <row r="93" spans="1:5">
      <c r="A93" s="2">
        <v>45512</v>
      </c>
      <c r="B93">
        <v>22114.25</v>
      </c>
      <c r="C93">
        <v>4812.58642578125</v>
      </c>
      <c r="D93">
        <f t="shared" si="2"/>
        <v>3.5077805227335694E-3</v>
      </c>
      <c r="E93">
        <f t="shared" si="3"/>
        <v>-2.2642243606607479E-2</v>
      </c>
    </row>
    <row r="94" spans="1:5">
      <c r="A94" s="2">
        <v>45513</v>
      </c>
      <c r="B94">
        <v>22209.55078125</v>
      </c>
      <c r="C94">
        <v>4808.05712890625</v>
      </c>
      <c r="D94">
        <f t="shared" si="2"/>
        <v>4.3094738121347096E-3</v>
      </c>
      <c r="E94">
        <f t="shared" si="3"/>
        <v>-9.4113569591942187E-4</v>
      </c>
    </row>
    <row r="95" spans="1:5">
      <c r="A95" s="2">
        <v>45516</v>
      </c>
      <c r="B95">
        <v>22205.599609375</v>
      </c>
      <c r="C95">
        <v>4868.830078125</v>
      </c>
      <c r="D95">
        <f t="shared" si="2"/>
        <v>-1.7790417797804823E-4</v>
      </c>
      <c r="E95">
        <f t="shared" si="3"/>
        <v>1.2639814292841981E-2</v>
      </c>
    </row>
    <row r="96" spans="1:5">
      <c r="A96" s="2">
        <v>45517</v>
      </c>
      <c r="B96">
        <v>22191.599609375</v>
      </c>
      <c r="C96">
        <v>4839.7626953125</v>
      </c>
      <c r="D96">
        <f t="shared" si="2"/>
        <v>-6.304716038421826E-4</v>
      </c>
      <c r="E96">
        <f t="shared" si="3"/>
        <v>-5.9700959668105586E-3</v>
      </c>
    </row>
    <row r="97" spans="1:5">
      <c r="A97" s="2">
        <v>45518</v>
      </c>
      <c r="B97">
        <v>22012.69921875</v>
      </c>
      <c r="C97">
        <v>4640.8681640625</v>
      </c>
      <c r="D97">
        <f t="shared" si="2"/>
        <v>-8.061626641345054E-3</v>
      </c>
      <c r="E97">
        <f t="shared" si="3"/>
        <v>-4.1095926344206328E-2</v>
      </c>
    </row>
    <row r="98" spans="1:5">
      <c r="A98" s="2">
        <v>45520</v>
      </c>
      <c r="B98">
        <v>22106.5</v>
      </c>
      <c r="C98">
        <v>4612.8955078125</v>
      </c>
      <c r="D98">
        <f t="shared" si="2"/>
        <v>4.2612121447651577E-3</v>
      </c>
      <c r="E98">
        <f t="shared" si="3"/>
        <v>-6.0274619448602122E-3</v>
      </c>
    </row>
    <row r="99" spans="1:5">
      <c r="A99" s="2">
        <v>45523</v>
      </c>
      <c r="B99">
        <v>22237.849609375</v>
      </c>
      <c r="C99">
        <v>4648.732421875</v>
      </c>
      <c r="D99">
        <f t="shared" si="2"/>
        <v>5.9416736876031937E-3</v>
      </c>
      <c r="E99">
        <f t="shared" si="3"/>
        <v>7.7688545083680789E-3</v>
      </c>
    </row>
    <row r="100" spans="1:5">
      <c r="A100" s="2">
        <v>45524</v>
      </c>
      <c r="B100">
        <v>22374.25</v>
      </c>
      <c r="C100">
        <v>4701.7412109375</v>
      </c>
      <c r="D100">
        <f t="shared" si="2"/>
        <v>6.1337041584945571E-3</v>
      </c>
      <c r="E100">
        <f t="shared" si="3"/>
        <v>1.1402847970569934E-2</v>
      </c>
    </row>
    <row r="101" spans="1:5">
      <c r="A101" s="2">
        <v>45525</v>
      </c>
      <c r="B101">
        <v>22577.900390625</v>
      </c>
      <c r="C101">
        <v>4878.58544921875</v>
      </c>
      <c r="D101">
        <f t="shared" si="2"/>
        <v>9.1019985306770058E-3</v>
      </c>
      <c r="E101">
        <f t="shared" si="3"/>
        <v>3.7612499358719124E-2</v>
      </c>
    </row>
    <row r="102" spans="1:5">
      <c r="A102" s="2">
        <v>45526</v>
      </c>
      <c r="B102">
        <v>22546.099609375</v>
      </c>
      <c r="C102">
        <v>4889.18798828125</v>
      </c>
      <c r="D102">
        <f t="shared" si="2"/>
        <v>-1.4084915204606275E-3</v>
      </c>
      <c r="E102">
        <f t="shared" si="3"/>
        <v>2.1732814097163915E-3</v>
      </c>
    </row>
    <row r="103" spans="1:5">
      <c r="A103" s="2">
        <v>45527</v>
      </c>
      <c r="B103">
        <v>22527.849609375</v>
      </c>
      <c r="C103">
        <v>4833.939453125</v>
      </c>
      <c r="D103">
        <f t="shared" si="2"/>
        <v>-8.0945264663034584E-4</v>
      </c>
      <c r="E103">
        <f t="shared" si="3"/>
        <v>-1.1300145400151023E-2</v>
      </c>
    </row>
    <row r="104" spans="1:5">
      <c r="A104" s="2">
        <v>45530</v>
      </c>
      <c r="B104">
        <v>22554.94921875</v>
      </c>
      <c r="C104">
        <v>4903.92041015625</v>
      </c>
      <c r="D104">
        <f t="shared" si="2"/>
        <v>1.2029381341272119E-3</v>
      </c>
      <c r="E104">
        <f t="shared" si="3"/>
        <v>1.4477003220635989E-2</v>
      </c>
    </row>
    <row r="105" spans="1:5">
      <c r="A105" s="2">
        <v>45531</v>
      </c>
      <c r="B105">
        <v>22729</v>
      </c>
      <c r="C105">
        <v>4880.2783203125</v>
      </c>
      <c r="D105">
        <f t="shared" si="2"/>
        <v>7.7167445407197392E-3</v>
      </c>
      <c r="E105">
        <f t="shared" si="3"/>
        <v>-4.8210590438593007E-3</v>
      </c>
    </row>
    <row r="106" spans="1:5">
      <c r="A106" s="2">
        <v>45532</v>
      </c>
      <c r="B106">
        <v>22989.099609375</v>
      </c>
      <c r="C106">
        <v>5007.8974609375</v>
      </c>
      <c r="D106">
        <f t="shared" si="2"/>
        <v>1.1443513105503981E-2</v>
      </c>
      <c r="E106">
        <f t="shared" si="3"/>
        <v>2.6149971835382563E-2</v>
      </c>
    </row>
    <row r="107" spans="1:5">
      <c r="A107" s="2">
        <v>45533</v>
      </c>
      <c r="B107">
        <v>22878.05078125</v>
      </c>
      <c r="C107">
        <v>4989.8291015625</v>
      </c>
      <c r="D107">
        <f t="shared" si="2"/>
        <v>-4.8304992371129693E-3</v>
      </c>
      <c r="E107">
        <f t="shared" si="3"/>
        <v>-3.607973109660581E-3</v>
      </c>
    </row>
    <row r="108" spans="1:5">
      <c r="A108" s="2">
        <v>45534</v>
      </c>
      <c r="B108">
        <v>23217.599609375</v>
      </c>
      <c r="C108">
        <v>5070.810546875</v>
      </c>
      <c r="D108">
        <f t="shared" si="2"/>
        <v>1.4841685219235618E-2</v>
      </c>
      <c r="E108">
        <f t="shared" si="3"/>
        <v>1.6229302379743168E-2</v>
      </c>
    </row>
    <row r="109" spans="1:5">
      <c r="A109" s="2">
        <v>45537</v>
      </c>
      <c r="B109">
        <v>22987.44921875</v>
      </c>
      <c r="C109">
        <v>5014.01953125</v>
      </c>
      <c r="D109">
        <f t="shared" si="2"/>
        <v>-9.9127556033858002E-3</v>
      </c>
      <c r="E109">
        <f t="shared" si="3"/>
        <v>-1.1199593260292228E-2</v>
      </c>
    </row>
    <row r="110" spans="1:5">
      <c r="A110" s="2">
        <v>45538</v>
      </c>
      <c r="B110">
        <v>23014.30078125</v>
      </c>
      <c r="C110">
        <v>5043.037109375</v>
      </c>
      <c r="D110">
        <f t="shared" si="2"/>
        <v>1.1680966532858369E-3</v>
      </c>
      <c r="E110">
        <f t="shared" si="3"/>
        <v>5.78728861029504E-3</v>
      </c>
    </row>
    <row r="111" spans="1:5">
      <c r="A111" s="2">
        <v>45539</v>
      </c>
      <c r="B111">
        <v>23184.400390625</v>
      </c>
      <c r="C111">
        <v>5073.49853515625</v>
      </c>
      <c r="D111">
        <f t="shared" si="2"/>
        <v>7.3910396406038975E-3</v>
      </c>
      <c r="E111">
        <f t="shared" si="3"/>
        <v>6.0402937992707299E-3</v>
      </c>
    </row>
    <row r="112" spans="1:5">
      <c r="A112" s="2">
        <v>45540</v>
      </c>
      <c r="B112">
        <v>23156.69921875</v>
      </c>
      <c r="C112">
        <v>5097.68798828125</v>
      </c>
      <c r="D112">
        <f t="shared" si="2"/>
        <v>-1.1948194220369585E-3</v>
      </c>
      <c r="E112">
        <f t="shared" si="3"/>
        <v>4.7678052841410804E-3</v>
      </c>
    </row>
    <row r="113" spans="1:5">
      <c r="A113" s="2">
        <v>45541</v>
      </c>
      <c r="B113">
        <v>23043.400390625</v>
      </c>
      <c r="C113">
        <v>5114.51123046875</v>
      </c>
      <c r="D113">
        <f t="shared" si="2"/>
        <v>-4.8927019803090867E-3</v>
      </c>
      <c r="E113">
        <f t="shared" si="3"/>
        <v>3.3001710238394111E-3</v>
      </c>
    </row>
    <row r="114" spans="1:5">
      <c r="A114" s="2">
        <v>45544</v>
      </c>
      <c r="B114">
        <v>23009.400390625</v>
      </c>
      <c r="C114">
        <v>5150.0498046875</v>
      </c>
      <c r="D114">
        <f t="shared" si="2"/>
        <v>-1.4754766841543314E-3</v>
      </c>
      <c r="E114">
        <f t="shared" si="3"/>
        <v>6.9485768272509697E-3</v>
      </c>
    </row>
    <row r="115" spans="1:5">
      <c r="A115" s="2">
        <v>45545</v>
      </c>
      <c r="B115">
        <v>23256.849609375</v>
      </c>
      <c r="C115">
        <v>5401.853515625</v>
      </c>
      <c r="D115">
        <f t="shared" si="2"/>
        <v>1.0754266280264359E-2</v>
      </c>
      <c r="E115">
        <f t="shared" si="3"/>
        <v>4.8893451614450786E-2</v>
      </c>
    </row>
    <row r="116" spans="1:5">
      <c r="A116" s="2">
        <v>45546</v>
      </c>
      <c r="B116">
        <v>23220.400390625</v>
      </c>
      <c r="C116">
        <v>5414.64501953125</v>
      </c>
      <c r="D116">
        <f t="shared" si="2"/>
        <v>-1.5672466117382924E-3</v>
      </c>
      <c r="E116">
        <f t="shared" si="3"/>
        <v>2.3679842241649549E-3</v>
      </c>
    </row>
    <row r="117" spans="1:5">
      <c r="A117" s="2">
        <v>45547</v>
      </c>
      <c r="B117">
        <v>23429.599609375</v>
      </c>
      <c r="C117">
        <v>5457.94775390625</v>
      </c>
      <c r="D117">
        <f t="shared" si="2"/>
        <v>9.0092855950262615E-3</v>
      </c>
      <c r="E117">
        <f t="shared" si="3"/>
        <v>7.9973357844885552E-3</v>
      </c>
    </row>
    <row r="118" spans="1:5">
      <c r="A118" s="2">
        <v>45548</v>
      </c>
      <c r="B118">
        <v>23457.650390625</v>
      </c>
      <c r="C118">
        <v>5473.72607421875</v>
      </c>
      <c r="D118">
        <f t="shared" si="2"/>
        <v>1.1972369019390286E-3</v>
      </c>
      <c r="E118">
        <f t="shared" si="3"/>
        <v>2.8908888512550282E-3</v>
      </c>
    </row>
    <row r="119" spans="1:5">
      <c r="A119" s="2">
        <v>45551</v>
      </c>
      <c r="B119">
        <v>23448.75</v>
      </c>
      <c r="C119">
        <v>5454.513671875</v>
      </c>
      <c r="D119">
        <f t="shared" si="2"/>
        <v>-3.7942379039620686E-4</v>
      </c>
      <c r="E119">
        <f t="shared" si="3"/>
        <v>-3.5099312759256287E-3</v>
      </c>
    </row>
    <row r="120" spans="1:5">
      <c r="A120" s="2">
        <v>45552</v>
      </c>
      <c r="B120">
        <v>23383.650390625</v>
      </c>
      <c r="C120">
        <v>5427.48681640625</v>
      </c>
      <c r="D120">
        <f t="shared" si="2"/>
        <v>-2.7762507329815024E-3</v>
      </c>
      <c r="E120">
        <f t="shared" si="3"/>
        <v>-4.9549523742342116E-3</v>
      </c>
    </row>
    <row r="121" spans="1:5">
      <c r="A121" s="2">
        <v>45553</v>
      </c>
      <c r="B121">
        <v>23025.19921875</v>
      </c>
      <c r="C121">
        <v>5444.359375</v>
      </c>
      <c r="D121">
        <f t="shared" si="2"/>
        <v>-1.5329136635514815E-2</v>
      </c>
      <c r="E121">
        <f t="shared" si="3"/>
        <v>3.1087240125111859E-3</v>
      </c>
    </row>
    <row r="122" spans="1:5">
      <c r="A122" s="2">
        <v>45554</v>
      </c>
      <c r="B122">
        <v>22930.150390625</v>
      </c>
      <c r="C122">
        <v>5404.5908203125</v>
      </c>
      <c r="D122">
        <f t="shared" si="2"/>
        <v>-4.1280349942683378E-3</v>
      </c>
      <c r="E122">
        <f t="shared" si="3"/>
        <v>-7.3045425454670689E-3</v>
      </c>
    </row>
    <row r="123" spans="1:5">
      <c r="A123" s="2">
        <v>45555</v>
      </c>
      <c r="B123">
        <v>23005.25</v>
      </c>
      <c r="C123">
        <v>5426.04296875</v>
      </c>
      <c r="D123">
        <f t="shared" si="2"/>
        <v>3.2751468305111729E-3</v>
      </c>
      <c r="E123">
        <f t="shared" si="3"/>
        <v>3.9692456192751352E-3</v>
      </c>
    </row>
    <row r="124" spans="1:5">
      <c r="A124" s="2">
        <v>45558</v>
      </c>
      <c r="B124">
        <v>23134.25</v>
      </c>
      <c r="C124">
        <v>5348.49609375</v>
      </c>
      <c r="D124">
        <f t="shared" si="2"/>
        <v>5.6074156985905389E-3</v>
      </c>
      <c r="E124">
        <f t="shared" si="3"/>
        <v>-1.4291607244286993E-2</v>
      </c>
    </row>
    <row r="125" spans="1:5">
      <c r="A125" s="2">
        <v>45559</v>
      </c>
      <c r="B125">
        <v>23188.400390625</v>
      </c>
      <c r="C125">
        <v>5351.4326171875</v>
      </c>
      <c r="D125">
        <f t="shared" si="2"/>
        <v>2.3407022326204655E-3</v>
      </c>
      <c r="E125">
        <f t="shared" si="3"/>
        <v>5.4903722205789447E-4</v>
      </c>
    </row>
    <row r="126" spans="1:5">
      <c r="A126" s="2">
        <v>45560</v>
      </c>
      <c r="B126">
        <v>23249</v>
      </c>
      <c r="C126">
        <v>5369.8486328125</v>
      </c>
      <c r="D126">
        <f t="shared" si="2"/>
        <v>2.6133587636127001E-3</v>
      </c>
      <c r="E126">
        <f t="shared" si="3"/>
        <v>3.4413243971067181E-3</v>
      </c>
    </row>
    <row r="127" spans="1:5">
      <c r="A127" s="2">
        <v>45561</v>
      </c>
      <c r="B127">
        <v>23250.900390625</v>
      </c>
      <c r="C127">
        <v>5354.9169921875</v>
      </c>
      <c r="D127">
        <f t="shared" si="2"/>
        <v>8.1740746913845755E-5</v>
      </c>
      <c r="E127">
        <f t="shared" si="3"/>
        <v>-2.7806446039763764E-3</v>
      </c>
    </row>
    <row r="128" spans="1:5">
      <c r="A128" s="2">
        <v>45562</v>
      </c>
      <c r="B128">
        <v>23519.099609375</v>
      </c>
      <c r="C128">
        <v>5433.16064453125</v>
      </c>
      <c r="D128">
        <f t="shared" si="2"/>
        <v>1.1535003558749951E-2</v>
      </c>
      <c r="E128">
        <f t="shared" si="3"/>
        <v>1.4611552794917784E-2</v>
      </c>
    </row>
    <row r="129" spans="1:5">
      <c r="A129" s="2">
        <v>45565</v>
      </c>
      <c r="B129">
        <v>23281.19921875</v>
      </c>
      <c r="C129">
        <v>5418.6767578125</v>
      </c>
      <c r="D129">
        <f t="shared" si="2"/>
        <v>-1.0115199755783594E-2</v>
      </c>
      <c r="E129">
        <f t="shared" si="3"/>
        <v>-2.6658307505280122E-3</v>
      </c>
    </row>
    <row r="130" spans="1:5">
      <c r="A130" s="2">
        <v>45566</v>
      </c>
      <c r="B130">
        <v>23296.55078125</v>
      </c>
      <c r="C130">
        <v>5399.21484375</v>
      </c>
      <c r="D130">
        <f t="shared" si="2"/>
        <v>6.5939741143730679E-4</v>
      </c>
      <c r="E130">
        <f t="shared" si="3"/>
        <v>-3.5916359163591636E-3</v>
      </c>
    </row>
    <row r="131" spans="1:5">
      <c r="A131" s="2">
        <v>45568</v>
      </c>
      <c r="B131">
        <v>23178.75</v>
      </c>
      <c r="C131">
        <v>5405.685546875</v>
      </c>
      <c r="D131">
        <f t="shared" si="2"/>
        <v>-5.0565760724034219E-3</v>
      </c>
      <c r="E131">
        <f t="shared" si="3"/>
        <v>1.1984526106588126E-3</v>
      </c>
    </row>
    <row r="132" spans="1:5">
      <c r="A132" s="2">
        <v>45569</v>
      </c>
      <c r="B132">
        <v>23094.69921875</v>
      </c>
      <c r="C132">
        <v>5400.95703125</v>
      </c>
      <c r="D132">
        <f t="shared" si="2"/>
        <v>-3.6261999137140702E-3</v>
      </c>
      <c r="E132">
        <f t="shared" si="3"/>
        <v>-8.7473005671473653E-4</v>
      </c>
    </row>
    <row r="133" spans="1:5">
      <c r="A133" s="2">
        <v>45572</v>
      </c>
      <c r="B133">
        <v>22977.80078125</v>
      </c>
      <c r="C133">
        <v>5379.853515625</v>
      </c>
      <c r="D133">
        <f t="shared" si="2"/>
        <v>-5.0616999335108522E-3</v>
      </c>
      <c r="E133">
        <f t="shared" si="3"/>
        <v>-3.9073659543845309E-3</v>
      </c>
    </row>
    <row r="134" spans="1:5">
      <c r="A134" s="2">
        <v>45573</v>
      </c>
      <c r="B134">
        <v>23307.94921875</v>
      </c>
      <c r="C134">
        <v>5521.90625</v>
      </c>
      <c r="D134">
        <f t="shared" si="2"/>
        <v>1.4368147789382993E-2</v>
      </c>
      <c r="E134">
        <f t="shared" si="3"/>
        <v>2.6404572905642978E-2</v>
      </c>
    </row>
    <row r="135" spans="1:5">
      <c r="A135" s="2">
        <v>45574</v>
      </c>
      <c r="B135">
        <v>23783.80078125</v>
      </c>
      <c r="C135">
        <v>5962.60009765625</v>
      </c>
      <c r="D135">
        <f t="shared" si="2"/>
        <v>2.0415848603153933E-2</v>
      </c>
      <c r="E135">
        <f t="shared" si="3"/>
        <v>7.9808281362301295E-2</v>
      </c>
    </row>
    <row r="136" spans="1:5">
      <c r="A136" s="2">
        <v>45575</v>
      </c>
      <c r="B136">
        <v>23305.150390625</v>
      </c>
      <c r="C136">
        <v>5915.2158203125</v>
      </c>
      <c r="D136">
        <f t="shared" ref="D136:D199" si="4">(B136-B135)/B135</f>
        <v>-2.0125058859488298E-2</v>
      </c>
      <c r="E136">
        <f t="shared" ref="E136:E199" si="5">(C136-C135)/C135</f>
        <v>-7.9469151993566672E-3</v>
      </c>
    </row>
    <row r="137" spans="1:5">
      <c r="A137" s="2">
        <v>45576</v>
      </c>
      <c r="B137">
        <v>23582.25</v>
      </c>
      <c r="C137">
        <v>6114.40869140625</v>
      </c>
      <c r="D137">
        <f t="shared" si="4"/>
        <v>1.1890058838087109E-2</v>
      </c>
      <c r="E137">
        <f t="shared" si="5"/>
        <v>3.3674658227977668E-2</v>
      </c>
    </row>
    <row r="138" spans="1:5">
      <c r="A138" s="2">
        <v>45579</v>
      </c>
      <c r="B138">
        <v>23680</v>
      </c>
      <c r="C138">
        <v>6186.6796875</v>
      </c>
      <c r="D138">
        <f t="shared" si="4"/>
        <v>4.1450667345143064E-3</v>
      </c>
      <c r="E138">
        <f t="shared" si="5"/>
        <v>1.1819784993326711E-2</v>
      </c>
    </row>
    <row r="139" spans="1:5">
      <c r="A139" s="2">
        <v>45580</v>
      </c>
      <c r="B139">
        <v>23555.69921875</v>
      </c>
      <c r="C139">
        <v>6079.02001953125</v>
      </c>
      <c r="D139">
        <f t="shared" si="4"/>
        <v>-5.249188397381757E-3</v>
      </c>
      <c r="E139">
        <f t="shared" si="5"/>
        <v>-1.7401849361342096E-2</v>
      </c>
    </row>
    <row r="140" spans="1:5">
      <c r="A140" s="2">
        <v>45581</v>
      </c>
      <c r="B140">
        <v>23467.349609375</v>
      </c>
      <c r="C140">
        <v>6095.89306640625</v>
      </c>
      <c r="D140">
        <f t="shared" si="4"/>
        <v>-3.7506680890489114E-3</v>
      </c>
      <c r="E140">
        <f t="shared" si="5"/>
        <v>2.7756195605194061E-3</v>
      </c>
    </row>
    <row r="141" spans="1:5">
      <c r="A141" s="2">
        <v>45582</v>
      </c>
      <c r="B141">
        <v>23254</v>
      </c>
      <c r="C141">
        <v>6049.8525390625</v>
      </c>
      <c r="D141">
        <f t="shared" si="4"/>
        <v>-9.0913380899975468E-3</v>
      </c>
      <c r="E141">
        <f t="shared" si="5"/>
        <v>-7.5527124315014531E-3</v>
      </c>
    </row>
    <row r="142" spans="1:5">
      <c r="A142" s="2">
        <v>45583</v>
      </c>
      <c r="B142">
        <v>23356.19921875</v>
      </c>
      <c r="C142">
        <v>5994.95263671875</v>
      </c>
      <c r="D142">
        <f t="shared" si="4"/>
        <v>4.3949092091683153E-3</v>
      </c>
      <c r="E142">
        <f t="shared" si="5"/>
        <v>-9.0745852050564887E-3</v>
      </c>
    </row>
    <row r="143" spans="1:5">
      <c r="A143" s="2">
        <v>45586</v>
      </c>
      <c r="B143">
        <v>23122.69921875</v>
      </c>
      <c r="C143">
        <v>5898.1435546875</v>
      </c>
      <c r="D143">
        <f t="shared" si="4"/>
        <v>-9.9973457929982794E-3</v>
      </c>
      <c r="E143">
        <f t="shared" si="5"/>
        <v>-1.6148431505246561E-2</v>
      </c>
    </row>
    <row r="144" spans="1:5">
      <c r="A144" s="2">
        <v>45587</v>
      </c>
      <c r="B144">
        <v>22828.19921875</v>
      </c>
      <c r="C144">
        <v>5791.57861328125</v>
      </c>
      <c r="D144">
        <f t="shared" si="4"/>
        <v>-1.2736402321109314E-2</v>
      </c>
      <c r="E144">
        <f t="shared" si="5"/>
        <v>-1.8067539458506126E-2</v>
      </c>
    </row>
    <row r="145" spans="1:5">
      <c r="A145" s="2">
        <v>45588</v>
      </c>
      <c r="B145">
        <v>22471.599609375</v>
      </c>
      <c r="C145">
        <v>5701.63818359375</v>
      </c>
      <c r="D145">
        <f t="shared" si="4"/>
        <v>-1.562101355248845E-2</v>
      </c>
      <c r="E145">
        <f t="shared" si="5"/>
        <v>-1.5529518926195455E-2</v>
      </c>
    </row>
    <row r="146" spans="1:5">
      <c r="A146" s="2">
        <v>45589</v>
      </c>
      <c r="B146">
        <v>22570.80078125</v>
      </c>
      <c r="C146">
        <v>5710.64697265625</v>
      </c>
      <c r="D146">
        <f t="shared" si="4"/>
        <v>4.4145131454555618E-3</v>
      </c>
      <c r="E146">
        <f t="shared" si="5"/>
        <v>1.5800352060961098E-3</v>
      </c>
    </row>
    <row r="147" spans="1:5">
      <c r="A147" s="2">
        <v>45590</v>
      </c>
      <c r="B147">
        <v>22574.55078125</v>
      </c>
      <c r="C147">
        <v>5754.54736328125</v>
      </c>
      <c r="D147">
        <f t="shared" si="4"/>
        <v>1.6614386154678205E-4</v>
      </c>
      <c r="E147">
        <f t="shared" si="5"/>
        <v>7.6874635807823669E-3</v>
      </c>
    </row>
    <row r="148" spans="1:5">
      <c r="A148" s="2">
        <v>45593</v>
      </c>
      <c r="B148">
        <v>22857.25</v>
      </c>
      <c r="C148">
        <v>5788.04443359375</v>
      </c>
      <c r="D148">
        <f t="shared" si="4"/>
        <v>1.2522916690098865E-2</v>
      </c>
      <c r="E148">
        <f t="shared" si="5"/>
        <v>5.8209739529191968E-3</v>
      </c>
    </row>
    <row r="149" spans="1:5">
      <c r="A149" s="2">
        <v>45594</v>
      </c>
      <c r="B149">
        <v>22601.400390625</v>
      </c>
      <c r="C149">
        <v>5777.044921875</v>
      </c>
      <c r="D149">
        <f t="shared" si="4"/>
        <v>-1.1193367941244025E-2</v>
      </c>
      <c r="E149">
        <f t="shared" si="5"/>
        <v>-1.9003848095755706E-3</v>
      </c>
    </row>
    <row r="150" spans="1:5">
      <c r="A150" s="2">
        <v>45595</v>
      </c>
      <c r="B150">
        <v>22374.94921875</v>
      </c>
      <c r="C150">
        <v>5859.91748046875</v>
      </c>
      <c r="D150">
        <f t="shared" si="4"/>
        <v>-1.0019342516888083E-2</v>
      </c>
      <c r="E150">
        <f t="shared" si="5"/>
        <v>1.4345146993742407E-2</v>
      </c>
    </row>
    <row r="151" spans="1:5">
      <c r="A151" s="2">
        <v>45596</v>
      </c>
      <c r="B151">
        <v>22735.55078125</v>
      </c>
      <c r="C151">
        <v>5862.95361328125</v>
      </c>
      <c r="D151">
        <f t="shared" si="4"/>
        <v>1.6116307526535936E-2</v>
      </c>
      <c r="E151">
        <f t="shared" si="5"/>
        <v>5.1811869751058881E-4</v>
      </c>
    </row>
    <row r="152" spans="1:5">
      <c r="A152" s="2">
        <v>45597</v>
      </c>
      <c r="B152">
        <v>22807.150390625</v>
      </c>
      <c r="C152">
        <v>5876.79052734375</v>
      </c>
      <c r="D152">
        <f t="shared" si="4"/>
        <v>3.1492357525839299E-3</v>
      </c>
      <c r="E152">
        <f t="shared" si="5"/>
        <v>2.3600585942135841E-3</v>
      </c>
    </row>
    <row r="153" spans="1:5">
      <c r="A153" s="2">
        <v>45600</v>
      </c>
      <c r="B153">
        <v>22638.30078125</v>
      </c>
      <c r="C153">
        <v>5874.9990234375</v>
      </c>
      <c r="D153">
        <f t="shared" si="4"/>
        <v>-7.4033628262655084E-3</v>
      </c>
      <c r="E153">
        <f t="shared" si="5"/>
        <v>-3.0484392763608362E-4</v>
      </c>
    </row>
    <row r="154" spans="1:5">
      <c r="A154" s="2">
        <v>45601</v>
      </c>
      <c r="B154">
        <v>22661.25</v>
      </c>
      <c r="C154">
        <v>5784.9091796875</v>
      </c>
      <c r="D154">
        <f t="shared" si="4"/>
        <v>1.0137341566292606E-3</v>
      </c>
      <c r="E154">
        <f t="shared" si="5"/>
        <v>-1.5334444038305193E-2</v>
      </c>
    </row>
    <row r="155" spans="1:5">
      <c r="A155" s="2">
        <v>45602</v>
      </c>
      <c r="B155">
        <v>22920.349609375</v>
      </c>
      <c r="C155">
        <v>5927.1611328125</v>
      </c>
      <c r="D155">
        <f t="shared" si="4"/>
        <v>1.1433597412984721E-2</v>
      </c>
      <c r="E155">
        <f t="shared" si="5"/>
        <v>2.4590179155186742E-2</v>
      </c>
    </row>
    <row r="156" spans="1:5">
      <c r="A156" s="2">
        <v>45603</v>
      </c>
      <c r="B156">
        <v>22526.94921875</v>
      </c>
      <c r="C156">
        <v>5932.93505859375</v>
      </c>
      <c r="D156">
        <f t="shared" si="4"/>
        <v>-1.716380410114204E-2</v>
      </c>
      <c r="E156">
        <f t="shared" si="5"/>
        <v>9.7414692326918599E-4</v>
      </c>
    </row>
    <row r="157" spans="1:5">
      <c r="A157" s="2">
        <v>45604</v>
      </c>
      <c r="B157">
        <v>22542.25</v>
      </c>
      <c r="C157">
        <v>5922.880859375</v>
      </c>
      <c r="D157">
        <f t="shared" si="4"/>
        <v>6.7922118975900217E-4</v>
      </c>
      <c r="E157">
        <f t="shared" si="5"/>
        <v>-1.6946417109667622E-3</v>
      </c>
    </row>
    <row r="158" spans="1:5">
      <c r="A158" s="2">
        <v>45607</v>
      </c>
      <c r="B158">
        <v>22344.25</v>
      </c>
      <c r="C158">
        <v>5873.20703125</v>
      </c>
      <c r="D158">
        <f t="shared" si="4"/>
        <v>-8.783506526633322E-3</v>
      </c>
      <c r="E158">
        <f t="shared" si="5"/>
        <v>-8.3867680786409958E-3</v>
      </c>
    </row>
    <row r="159" spans="1:5">
      <c r="A159" s="2">
        <v>45608</v>
      </c>
      <c r="B159">
        <v>22151.599609375</v>
      </c>
      <c r="C159">
        <v>5784.36181640625</v>
      </c>
      <c r="D159">
        <f t="shared" si="4"/>
        <v>-8.6219224464907079E-3</v>
      </c>
      <c r="E159">
        <f t="shared" si="5"/>
        <v>-1.5127206374817846E-2</v>
      </c>
    </row>
    <row r="160" spans="1:5">
      <c r="A160" s="2">
        <v>45609</v>
      </c>
      <c r="B160">
        <v>21809.30078125</v>
      </c>
      <c r="C160">
        <v>5743.94580078125</v>
      </c>
      <c r="D160">
        <f t="shared" si="4"/>
        <v>-1.5452555759455507E-2</v>
      </c>
      <c r="E160">
        <f t="shared" si="5"/>
        <v>-6.9871174915731591E-3</v>
      </c>
    </row>
    <row r="161" spans="1:5">
      <c r="A161" s="2">
        <v>45610</v>
      </c>
      <c r="B161">
        <v>21752</v>
      </c>
      <c r="C161">
        <v>5724.0361328125</v>
      </c>
      <c r="D161">
        <f t="shared" si="4"/>
        <v>-2.627355265752624E-3</v>
      </c>
      <c r="E161">
        <f t="shared" si="5"/>
        <v>-3.466200528222608E-3</v>
      </c>
    </row>
    <row r="162" spans="1:5">
      <c r="A162" s="2">
        <v>45614</v>
      </c>
      <c r="B162">
        <v>21544.150390625</v>
      </c>
      <c r="C162">
        <v>5740.51123046875</v>
      </c>
      <c r="D162">
        <f t="shared" si="4"/>
        <v>-9.5554252195200438E-3</v>
      </c>
      <c r="E162">
        <f t="shared" si="5"/>
        <v>2.8782308975668497E-3</v>
      </c>
    </row>
    <row r="163" spans="1:5">
      <c r="A163" s="2">
        <v>45615</v>
      </c>
      <c r="B163">
        <v>21768.849609375</v>
      </c>
      <c r="C163">
        <v>5874.10302734375</v>
      </c>
      <c r="D163">
        <f t="shared" si="4"/>
        <v>1.0429708977884712E-2</v>
      </c>
      <c r="E163">
        <f t="shared" si="5"/>
        <v>2.3271759519594454E-2</v>
      </c>
    </row>
    <row r="164" spans="1:5">
      <c r="A164" s="2">
        <v>45617</v>
      </c>
      <c r="B164">
        <v>21740.099609375</v>
      </c>
      <c r="C164">
        <v>5950.00732421875</v>
      </c>
      <c r="D164">
        <f t="shared" si="4"/>
        <v>-1.3206945022771661E-3</v>
      </c>
      <c r="E164">
        <f t="shared" si="5"/>
        <v>1.2921853178547955E-2</v>
      </c>
    </row>
    <row r="165" spans="1:5">
      <c r="A165" s="2">
        <v>45618</v>
      </c>
      <c r="B165">
        <v>21962.05078125</v>
      </c>
      <c r="C165">
        <v>5971.1611328125</v>
      </c>
      <c r="D165">
        <f t="shared" si="4"/>
        <v>1.0209298754973865E-2</v>
      </c>
      <c r="E165">
        <f t="shared" si="5"/>
        <v>3.5552575721455176E-3</v>
      </c>
    </row>
    <row r="166" spans="1:5">
      <c r="A166" s="2">
        <v>45621</v>
      </c>
      <c r="B166">
        <v>22177.05078125</v>
      </c>
      <c r="C166">
        <v>6110.6259765625</v>
      </c>
      <c r="D166">
        <f t="shared" si="4"/>
        <v>9.7896140092506873E-3</v>
      </c>
      <c r="E166">
        <f t="shared" si="5"/>
        <v>2.3356402657368939E-2</v>
      </c>
    </row>
    <row r="167" spans="1:5">
      <c r="A167" s="2">
        <v>45622</v>
      </c>
      <c r="B167">
        <v>21961.75</v>
      </c>
      <c r="C167">
        <v>6044.974609375</v>
      </c>
      <c r="D167">
        <f t="shared" si="4"/>
        <v>-9.7082692993619348E-3</v>
      </c>
      <c r="E167">
        <f t="shared" si="5"/>
        <v>-1.074380389821074E-2</v>
      </c>
    </row>
    <row r="168" spans="1:5">
      <c r="A168" s="2">
        <v>45623</v>
      </c>
      <c r="B168">
        <v>21828.599609375</v>
      </c>
      <c r="C168">
        <v>5972.00732421875</v>
      </c>
      <c r="D168">
        <f t="shared" si="4"/>
        <v>-6.0628315423406605E-3</v>
      </c>
      <c r="E168">
        <f t="shared" si="5"/>
        <v>-1.2070734762572345E-2</v>
      </c>
    </row>
    <row r="169" spans="1:5">
      <c r="A169" s="2">
        <v>45624</v>
      </c>
      <c r="B169">
        <v>21728.599609375</v>
      </c>
      <c r="C169">
        <v>5924.82177734375</v>
      </c>
      <c r="D169">
        <f t="shared" si="4"/>
        <v>-4.5811459181766181E-3</v>
      </c>
      <c r="E169">
        <f t="shared" si="5"/>
        <v>-7.9011200611969687E-3</v>
      </c>
    </row>
    <row r="170" spans="1:5">
      <c r="A170" s="2">
        <v>45625</v>
      </c>
      <c r="B170">
        <v>22240.19921875</v>
      </c>
      <c r="C170">
        <v>6144.720703125</v>
      </c>
      <c r="D170">
        <f t="shared" si="4"/>
        <v>2.3544987646339884E-2</v>
      </c>
      <c r="E170">
        <f t="shared" si="5"/>
        <v>3.7114859154436262E-2</v>
      </c>
    </row>
    <row r="171" spans="1:5">
      <c r="A171" s="2">
        <v>45628</v>
      </c>
      <c r="B171">
        <v>22450.19921875</v>
      </c>
      <c r="C171">
        <v>6226.99609375</v>
      </c>
      <c r="D171">
        <f t="shared" si="4"/>
        <v>9.4423614615356376E-3</v>
      </c>
      <c r="E171">
        <f t="shared" si="5"/>
        <v>1.3389606232738533E-2</v>
      </c>
    </row>
    <row r="172" spans="1:5">
      <c r="A172" s="2">
        <v>45629</v>
      </c>
      <c r="B172">
        <v>22445.69921875</v>
      </c>
      <c r="C172">
        <v>6182.39892578125</v>
      </c>
      <c r="D172">
        <f t="shared" si="4"/>
        <v>-2.0044365558420887E-4</v>
      </c>
      <c r="E172">
        <f t="shared" si="5"/>
        <v>-7.1619071695760211E-3</v>
      </c>
    </row>
    <row r="173" spans="1:5">
      <c r="A173" s="2">
        <v>45630</v>
      </c>
      <c r="B173">
        <v>22422.900390625</v>
      </c>
      <c r="C173">
        <v>6228.140625</v>
      </c>
      <c r="D173">
        <f t="shared" si="4"/>
        <v>-1.0157325865774328E-3</v>
      </c>
      <c r="E173">
        <f t="shared" si="5"/>
        <v>7.3986974583607557E-3</v>
      </c>
    </row>
    <row r="174" spans="1:5">
      <c r="A174" s="2">
        <v>45631</v>
      </c>
      <c r="B174">
        <v>22463.400390625</v>
      </c>
      <c r="C174">
        <v>6068.5673828125</v>
      </c>
      <c r="D174">
        <f t="shared" si="4"/>
        <v>1.8061891768886877E-3</v>
      </c>
      <c r="E174">
        <f t="shared" si="5"/>
        <v>-2.5621329349399525E-2</v>
      </c>
    </row>
    <row r="175" spans="1:5">
      <c r="A175" s="2">
        <v>45632</v>
      </c>
      <c r="B175">
        <v>22434.75</v>
      </c>
      <c r="C175">
        <v>6102.9609375</v>
      </c>
      <c r="D175">
        <f t="shared" si="4"/>
        <v>-1.2754253642274531E-3</v>
      </c>
      <c r="E175">
        <f t="shared" si="5"/>
        <v>5.6674916035224414E-3</v>
      </c>
    </row>
    <row r="176" spans="1:5">
      <c r="A176" s="2">
        <v>45635</v>
      </c>
      <c r="B176">
        <v>22309.099609375</v>
      </c>
      <c r="C176">
        <v>5932.63623046875</v>
      </c>
      <c r="D176">
        <f t="shared" si="4"/>
        <v>-5.6007038467110176E-3</v>
      </c>
      <c r="E176">
        <f t="shared" si="5"/>
        <v>-2.790853632778147E-2</v>
      </c>
    </row>
    <row r="177" spans="1:5">
      <c r="A177" s="2">
        <v>45636</v>
      </c>
      <c r="B177">
        <v>22291.44921875</v>
      </c>
      <c r="C177">
        <v>5905.708984375</v>
      </c>
      <c r="D177">
        <f t="shared" si="4"/>
        <v>-7.9117449534282141E-4</v>
      </c>
      <c r="E177">
        <f t="shared" si="5"/>
        <v>-4.5388331675313967E-3</v>
      </c>
    </row>
    <row r="178" spans="1:5">
      <c r="A178" s="2">
        <v>45637</v>
      </c>
      <c r="B178">
        <v>22302.599609375</v>
      </c>
      <c r="C178">
        <v>5901.080078125</v>
      </c>
      <c r="D178">
        <f t="shared" si="4"/>
        <v>5.0020931863061977E-4</v>
      </c>
      <c r="E178">
        <f t="shared" si="5"/>
        <v>-7.8380195540398378E-4</v>
      </c>
    </row>
    <row r="179" spans="1:5">
      <c r="A179" s="2">
        <v>45638</v>
      </c>
      <c r="B179">
        <v>22229.30078125</v>
      </c>
      <c r="C179">
        <v>5924.72265625</v>
      </c>
      <c r="D179">
        <f t="shared" si="4"/>
        <v>-3.2865598364680546E-3</v>
      </c>
      <c r="E179">
        <f t="shared" si="5"/>
        <v>4.0064831881610656E-3</v>
      </c>
    </row>
    <row r="180" spans="1:5">
      <c r="A180" s="2">
        <v>45639</v>
      </c>
      <c r="B180">
        <v>22157.349609375</v>
      </c>
      <c r="C180">
        <v>5850.0625</v>
      </c>
      <c r="D180">
        <f t="shared" si="4"/>
        <v>-3.2367717087929942E-3</v>
      </c>
      <c r="E180">
        <f t="shared" si="5"/>
        <v>-1.2601460115815021E-2</v>
      </c>
    </row>
    <row r="181" spans="1:5">
      <c r="A181" s="2">
        <v>45642</v>
      </c>
      <c r="B181">
        <v>22255.55078125</v>
      </c>
      <c r="C181">
        <v>5829.904296875</v>
      </c>
      <c r="D181">
        <f t="shared" si="4"/>
        <v>4.4319909017209386E-3</v>
      </c>
      <c r="E181">
        <f t="shared" si="5"/>
        <v>-3.4458098738261345E-3</v>
      </c>
    </row>
    <row r="182" spans="1:5">
      <c r="A182" s="2">
        <v>45643</v>
      </c>
      <c r="B182">
        <v>22074.55078125</v>
      </c>
      <c r="C182">
        <v>5820.89501953125</v>
      </c>
      <c r="D182">
        <f t="shared" si="4"/>
        <v>-8.1328025434665961E-3</v>
      </c>
      <c r="E182">
        <f t="shared" si="5"/>
        <v>-1.5453559586868753E-3</v>
      </c>
    </row>
    <row r="183" spans="1:5">
      <c r="A183" s="2">
        <v>45644</v>
      </c>
      <c r="B183">
        <v>22314.55078125</v>
      </c>
      <c r="C183">
        <v>5823.234375</v>
      </c>
      <c r="D183">
        <f t="shared" si="4"/>
        <v>1.0872248426629576E-2</v>
      </c>
      <c r="E183">
        <f t="shared" si="5"/>
        <v>4.0188930755504084E-4</v>
      </c>
    </row>
    <row r="184" spans="1:5">
      <c r="A184" s="2">
        <v>45645</v>
      </c>
      <c r="B184">
        <v>22697.900390625</v>
      </c>
      <c r="C184">
        <v>5794.3662109375</v>
      </c>
      <c r="D184">
        <f t="shared" si="4"/>
        <v>1.7179355889033309E-2</v>
      </c>
      <c r="E184">
        <f t="shared" si="5"/>
        <v>-4.9574106421742641E-3</v>
      </c>
    </row>
    <row r="185" spans="1:5">
      <c r="A185" s="2">
        <v>45646</v>
      </c>
      <c r="B185">
        <v>22501.849609375</v>
      </c>
      <c r="C185">
        <v>5820.248046875</v>
      </c>
      <c r="D185">
        <f t="shared" si="4"/>
        <v>-8.6373971986843153E-3</v>
      </c>
      <c r="E185">
        <f t="shared" si="5"/>
        <v>4.4667242275169289E-3</v>
      </c>
    </row>
    <row r="186" spans="1:5">
      <c r="A186" s="2">
        <v>45649</v>
      </c>
      <c r="B186">
        <v>22572.05078125</v>
      </c>
      <c r="C186">
        <v>5822.93603515625</v>
      </c>
      <c r="D186">
        <f t="shared" si="4"/>
        <v>3.1197956209676166E-3</v>
      </c>
      <c r="E186">
        <f t="shared" si="5"/>
        <v>4.6183397332923485E-4</v>
      </c>
    </row>
    <row r="187" spans="1:5">
      <c r="A187" s="2">
        <v>45650</v>
      </c>
      <c r="B187">
        <v>22558.900390625</v>
      </c>
      <c r="C187">
        <v>5756.14013671875</v>
      </c>
      <c r="D187">
        <f t="shared" si="4"/>
        <v>-5.8259618288311133E-4</v>
      </c>
      <c r="E187">
        <f t="shared" si="5"/>
        <v>-1.1471171593542608E-2</v>
      </c>
    </row>
    <row r="188" spans="1:5">
      <c r="A188" s="2">
        <v>45652</v>
      </c>
      <c r="B188">
        <v>22712.55078125</v>
      </c>
      <c r="C188">
        <v>5860.06689453125</v>
      </c>
      <c r="D188">
        <f t="shared" si="4"/>
        <v>6.8110762477081484E-3</v>
      </c>
      <c r="E188">
        <f t="shared" si="5"/>
        <v>1.805493878607041E-2</v>
      </c>
    </row>
    <row r="189" spans="1:5">
      <c r="A189" s="2">
        <v>45653</v>
      </c>
      <c r="B189">
        <v>23008.349609375</v>
      </c>
      <c r="C189">
        <v>5854.392578125</v>
      </c>
      <c r="D189">
        <f t="shared" si="4"/>
        <v>1.3023584667962183E-2</v>
      </c>
      <c r="E189">
        <f t="shared" si="5"/>
        <v>-9.6830232630030274E-4</v>
      </c>
    </row>
    <row r="190" spans="1:5">
      <c r="A190" s="2">
        <v>45656</v>
      </c>
      <c r="B190">
        <v>23241.150390625</v>
      </c>
      <c r="C190">
        <v>6017.599609375</v>
      </c>
      <c r="D190">
        <f t="shared" si="4"/>
        <v>1.0118099959466142E-2</v>
      </c>
      <c r="E190">
        <f t="shared" si="5"/>
        <v>2.7877705342109239E-2</v>
      </c>
    </row>
    <row r="191" spans="1:5">
      <c r="A191" s="2">
        <v>45657</v>
      </c>
      <c r="B191">
        <v>23412.25</v>
      </c>
      <c r="C191">
        <v>6071.1552734375</v>
      </c>
      <c r="D191">
        <f t="shared" si="4"/>
        <v>7.3619251413655513E-3</v>
      </c>
      <c r="E191">
        <f t="shared" si="5"/>
        <v>8.8998383972014386E-3</v>
      </c>
    </row>
    <row r="192" spans="1:5">
      <c r="A192" s="2">
        <v>45658</v>
      </c>
      <c r="B192">
        <v>23459.75</v>
      </c>
      <c r="C192">
        <v>6045.47265625</v>
      </c>
      <c r="D192">
        <f t="shared" si="4"/>
        <v>2.0288524170039191E-3</v>
      </c>
      <c r="E192">
        <f t="shared" si="5"/>
        <v>-4.2302685454062607E-3</v>
      </c>
    </row>
    <row r="193" spans="1:5">
      <c r="A193" s="2">
        <v>45659</v>
      </c>
      <c r="B193">
        <v>23553.400390625</v>
      </c>
      <c r="C193">
        <v>6116.8974609375</v>
      </c>
      <c r="D193">
        <f t="shared" si="4"/>
        <v>3.9919602990227945E-3</v>
      </c>
      <c r="E193">
        <f t="shared" si="5"/>
        <v>1.181459395299039E-2</v>
      </c>
    </row>
    <row r="194" spans="1:5">
      <c r="A194" s="2">
        <v>45660</v>
      </c>
      <c r="B194">
        <v>23263.5</v>
      </c>
      <c r="C194">
        <v>6020.88427734375</v>
      </c>
      <c r="D194">
        <f t="shared" si="4"/>
        <v>-1.2308218168803751E-2</v>
      </c>
      <c r="E194">
        <f t="shared" si="5"/>
        <v>-1.5696385987649799E-2</v>
      </c>
    </row>
    <row r="195" spans="1:5">
      <c r="A195" s="2">
        <v>45663</v>
      </c>
      <c r="B195">
        <v>23073.05078125</v>
      </c>
      <c r="C195">
        <v>5864.9443359375</v>
      </c>
      <c r="D195">
        <f t="shared" si="4"/>
        <v>-8.1866107314032717E-3</v>
      </c>
      <c r="E195">
        <f t="shared" si="5"/>
        <v>-2.5899840326286165E-2</v>
      </c>
    </row>
    <row r="196" spans="1:5">
      <c r="A196" s="2">
        <v>45664</v>
      </c>
      <c r="B196">
        <v>23228.55078125</v>
      </c>
      <c r="C196">
        <v>5881.1708984375</v>
      </c>
      <c r="D196">
        <f t="shared" si="4"/>
        <v>6.739464211917956E-3</v>
      </c>
      <c r="E196">
        <f t="shared" si="5"/>
        <v>2.7667035815790424E-3</v>
      </c>
    </row>
    <row r="197" spans="1:5">
      <c r="A197" s="2">
        <v>45665</v>
      </c>
      <c r="B197">
        <v>23011.099609375</v>
      </c>
      <c r="C197">
        <v>5841.7998046875</v>
      </c>
      <c r="D197">
        <f t="shared" si="4"/>
        <v>-9.3613748839865545E-3</v>
      </c>
      <c r="E197">
        <f t="shared" si="5"/>
        <v>-6.6944311651375493E-3</v>
      </c>
    </row>
    <row r="198" spans="1:5">
      <c r="A198" s="2">
        <v>45666</v>
      </c>
      <c r="B198">
        <v>22868.099609375</v>
      </c>
      <c r="C198">
        <v>5798.1484375</v>
      </c>
      <c r="D198">
        <f t="shared" si="4"/>
        <v>-6.2143922901337608E-3</v>
      </c>
      <c r="E198">
        <f t="shared" si="5"/>
        <v>-7.472246336218822E-3</v>
      </c>
    </row>
    <row r="199" spans="1:5">
      <c r="A199" s="2">
        <v>45667</v>
      </c>
      <c r="B199">
        <v>22380.849609375</v>
      </c>
      <c r="C199">
        <v>5745.18994140625</v>
      </c>
      <c r="D199">
        <f t="shared" si="4"/>
        <v>-2.1306973833551394E-2</v>
      </c>
      <c r="E199">
        <f t="shared" si="5"/>
        <v>-9.1336909816307193E-3</v>
      </c>
    </row>
    <row r="200" spans="1:5">
      <c r="A200" s="2">
        <v>45670</v>
      </c>
      <c r="B200">
        <v>21903.349609375</v>
      </c>
      <c r="C200">
        <v>5706.51611328125</v>
      </c>
      <c r="D200">
        <f t="shared" ref="D200:D252" si="6">(B200-B199)/B199</f>
        <v>-2.1335204352563204E-2</v>
      </c>
      <c r="E200">
        <f t="shared" ref="E200:E252" si="7">(C200-C199)/C199</f>
        <v>-6.731514278800991E-3</v>
      </c>
    </row>
    <row r="201" spans="1:5">
      <c r="A201" s="2">
        <v>45671</v>
      </c>
      <c r="B201">
        <v>22203.900390625</v>
      </c>
      <c r="C201">
        <v>5963.1474609375</v>
      </c>
      <c r="D201">
        <f t="shared" si="6"/>
        <v>1.3721681231867807E-2</v>
      </c>
      <c r="E201">
        <f t="shared" si="7"/>
        <v>4.4971632877539851E-2</v>
      </c>
    </row>
    <row r="202" spans="1:5">
      <c r="A202" s="2">
        <v>45672</v>
      </c>
      <c r="B202">
        <v>21972.69921875</v>
      </c>
      <c r="C202">
        <v>5850.2119140625</v>
      </c>
      <c r="D202">
        <f t="shared" si="6"/>
        <v>-1.0412637771182691E-2</v>
      </c>
      <c r="E202">
        <f t="shared" si="7"/>
        <v>-1.8938915667405742E-2</v>
      </c>
    </row>
    <row r="203" spans="1:5">
      <c r="A203" s="2">
        <v>45673</v>
      </c>
      <c r="B203">
        <v>21909.75</v>
      </c>
      <c r="C203">
        <v>5889.23388671875</v>
      </c>
      <c r="D203">
        <f t="shared" si="6"/>
        <v>-2.8648832864504622E-3</v>
      </c>
      <c r="E203">
        <f t="shared" si="7"/>
        <v>6.6701810514676538E-3</v>
      </c>
    </row>
    <row r="204" spans="1:5">
      <c r="A204" s="2">
        <v>45674</v>
      </c>
      <c r="B204">
        <v>22061.69921875</v>
      </c>
      <c r="C204">
        <v>5889.23388671875</v>
      </c>
      <c r="D204">
        <f t="shared" si="6"/>
        <v>6.9352328871849292E-3</v>
      </c>
      <c r="E204">
        <f t="shared" si="7"/>
        <v>0</v>
      </c>
    </row>
    <row r="205" spans="1:5">
      <c r="A205" s="2">
        <v>45677</v>
      </c>
      <c r="B205">
        <v>22182.400390625</v>
      </c>
      <c r="C205">
        <v>5973.40087890625</v>
      </c>
      <c r="D205">
        <f t="shared" si="6"/>
        <v>5.4710732241520805E-3</v>
      </c>
      <c r="E205">
        <f t="shared" si="7"/>
        <v>1.4291670836390324E-2</v>
      </c>
    </row>
    <row r="206" spans="1:5">
      <c r="A206" s="2">
        <v>45678</v>
      </c>
      <c r="B206">
        <v>21882.900390625</v>
      </c>
      <c r="C206">
        <v>5792.5244140625</v>
      </c>
      <c r="D206">
        <f t="shared" si="6"/>
        <v>-1.3501694799746666E-2</v>
      </c>
      <c r="E206">
        <f t="shared" si="7"/>
        <v>-3.0280315771619382E-2</v>
      </c>
    </row>
    <row r="207" spans="1:5">
      <c r="A207" s="2">
        <v>45679</v>
      </c>
      <c r="B207">
        <v>22034.94921875</v>
      </c>
      <c r="C207">
        <v>5786.1533203125</v>
      </c>
      <c r="D207">
        <f t="shared" si="6"/>
        <v>6.9482941205609222E-3</v>
      </c>
      <c r="E207">
        <f t="shared" si="7"/>
        <v>-1.0998820711973019E-3</v>
      </c>
    </row>
    <row r="208" spans="1:5">
      <c r="A208" s="2">
        <v>45680</v>
      </c>
      <c r="B208">
        <v>22343.30078125</v>
      </c>
      <c r="C208">
        <v>5824.42919921875</v>
      </c>
      <c r="D208">
        <f t="shared" si="6"/>
        <v>1.3993749631045993E-2</v>
      </c>
      <c r="E208">
        <f t="shared" si="7"/>
        <v>6.6150820393716748E-3</v>
      </c>
    </row>
    <row r="209" spans="1:5">
      <c r="A209" s="2">
        <v>45681</v>
      </c>
      <c r="B209">
        <v>21872.400390625</v>
      </c>
      <c r="C209">
        <v>5736.4794921875</v>
      </c>
      <c r="D209">
        <f t="shared" si="6"/>
        <v>-2.1075685962217771E-2</v>
      </c>
      <c r="E209">
        <f t="shared" si="7"/>
        <v>-1.5100141837597921E-2</v>
      </c>
    </row>
    <row r="210" spans="1:5">
      <c r="A210" s="2">
        <v>45684</v>
      </c>
      <c r="B210">
        <v>21292.30078125</v>
      </c>
      <c r="C210">
        <v>5551.47216796875</v>
      </c>
      <c r="D210">
        <f t="shared" si="6"/>
        <v>-2.6521991140197106E-2</v>
      </c>
      <c r="E210">
        <f t="shared" si="7"/>
        <v>-3.2251021636303431E-2</v>
      </c>
    </row>
    <row r="211" spans="1:5">
      <c r="A211" s="2">
        <v>45685</v>
      </c>
      <c r="B211">
        <v>20796.599609375</v>
      </c>
      <c r="C211">
        <v>5385.67724609375</v>
      </c>
      <c r="D211">
        <f t="shared" si="6"/>
        <v>-2.3280770686440539E-2</v>
      </c>
      <c r="E211">
        <f t="shared" si="7"/>
        <v>-2.9865037031368807E-2</v>
      </c>
    </row>
    <row r="212" spans="1:5">
      <c r="A212" s="2">
        <v>45686</v>
      </c>
      <c r="B212">
        <v>21163.900390625</v>
      </c>
      <c r="C212">
        <v>5594.67529296875</v>
      </c>
      <c r="D212">
        <f t="shared" si="6"/>
        <v>1.7661578726765634E-2</v>
      </c>
      <c r="E212">
        <f t="shared" si="7"/>
        <v>3.8806270284129446E-2</v>
      </c>
    </row>
    <row r="213" spans="1:5">
      <c r="A213" s="2">
        <v>45687</v>
      </c>
      <c r="B213">
        <v>21419.650390625</v>
      </c>
      <c r="C213">
        <v>5709.900390625</v>
      </c>
      <c r="D213">
        <f t="shared" si="6"/>
        <v>1.2084256459328731E-2</v>
      </c>
      <c r="E213">
        <f t="shared" si="7"/>
        <v>2.0595493325781044E-2</v>
      </c>
    </row>
    <row r="214" spans="1:5">
      <c r="A214" s="2">
        <v>45688</v>
      </c>
      <c r="B214">
        <v>21438.599609375</v>
      </c>
      <c r="C214">
        <v>5552.41796875</v>
      </c>
      <c r="D214">
        <f t="shared" si="6"/>
        <v>8.8466517447426389E-4</v>
      </c>
      <c r="E214">
        <f t="shared" si="7"/>
        <v>-2.7580590045593094E-2</v>
      </c>
    </row>
    <row r="215" spans="1:5">
      <c r="A215" s="2">
        <v>45691</v>
      </c>
      <c r="B215">
        <v>21361.599609375</v>
      </c>
      <c r="C215">
        <v>5857.4287109375</v>
      </c>
      <c r="D215">
        <f t="shared" si="6"/>
        <v>-3.5916525054336223E-3</v>
      </c>
      <c r="E215">
        <f t="shared" si="7"/>
        <v>5.4932957840017616E-2</v>
      </c>
    </row>
    <row r="216" spans="1:5">
      <c r="A216" s="2">
        <v>45692</v>
      </c>
      <c r="B216">
        <v>21733.94921875</v>
      </c>
      <c r="C216">
        <v>6068.6171875</v>
      </c>
      <c r="D216">
        <f t="shared" si="6"/>
        <v>1.7430792458612804E-2</v>
      </c>
      <c r="E216">
        <f t="shared" si="7"/>
        <v>3.6054809539235282E-2</v>
      </c>
    </row>
    <row r="217" spans="1:5">
      <c r="A217" s="2">
        <v>45693</v>
      </c>
      <c r="B217">
        <v>21868.5</v>
      </c>
      <c r="C217">
        <v>6095.74365234375</v>
      </c>
      <c r="D217">
        <f t="shared" si="6"/>
        <v>6.1908114303461373E-3</v>
      </c>
      <c r="E217">
        <f t="shared" si="7"/>
        <v>4.4699581478997354E-3</v>
      </c>
    </row>
    <row r="218" spans="1:5">
      <c r="A218" s="2">
        <v>45694</v>
      </c>
      <c r="B218">
        <v>22009.05078125</v>
      </c>
      <c r="C218">
        <v>6091.9609375</v>
      </c>
      <c r="D218">
        <f t="shared" si="6"/>
        <v>6.427088334819489E-3</v>
      </c>
      <c r="E218">
        <f t="shared" si="7"/>
        <v>-6.2055018378202062E-4</v>
      </c>
    </row>
    <row r="219" spans="1:5">
      <c r="A219" s="2">
        <v>45695</v>
      </c>
      <c r="B219">
        <v>22077</v>
      </c>
      <c r="C219">
        <v>6112.71630859375</v>
      </c>
      <c r="D219">
        <f t="shared" si="6"/>
        <v>3.0873307270428696E-3</v>
      </c>
      <c r="E219">
        <f t="shared" si="7"/>
        <v>3.4070098785412639E-3</v>
      </c>
    </row>
    <row r="220" spans="1:5">
      <c r="A220" s="2">
        <v>45698</v>
      </c>
      <c r="B220">
        <v>21665.650390625</v>
      </c>
      <c r="C220">
        <v>5911.880859375</v>
      </c>
      <c r="D220">
        <f t="shared" si="6"/>
        <v>-1.8632495781809123E-2</v>
      </c>
      <c r="E220">
        <f t="shared" si="7"/>
        <v>-3.2855352527386118E-2</v>
      </c>
    </row>
    <row r="221" spans="1:5">
      <c r="A221" s="2">
        <v>45699</v>
      </c>
      <c r="B221">
        <v>21249.5</v>
      </c>
      <c r="C221">
        <v>5919.794921875</v>
      </c>
      <c r="D221">
        <f t="shared" si="6"/>
        <v>-1.9207842050524063E-2</v>
      </c>
      <c r="E221">
        <f t="shared" si="7"/>
        <v>1.3386708372936781E-3</v>
      </c>
    </row>
    <row r="222" spans="1:5">
      <c r="A222" s="2">
        <v>45700</v>
      </c>
      <c r="B222">
        <v>21142.05078125</v>
      </c>
      <c r="C222">
        <v>5942.7900390625</v>
      </c>
      <c r="D222">
        <f t="shared" si="6"/>
        <v>-5.0565528012423821E-3</v>
      </c>
      <c r="E222">
        <f t="shared" si="7"/>
        <v>3.8844448990163101E-3</v>
      </c>
    </row>
    <row r="223" spans="1:5">
      <c r="A223" s="2">
        <v>45701</v>
      </c>
      <c r="B223">
        <v>21427.099609375</v>
      </c>
      <c r="C223">
        <v>5983.255859375</v>
      </c>
      <c r="D223">
        <f t="shared" si="6"/>
        <v>1.3482553375465254E-2</v>
      </c>
      <c r="E223">
        <f t="shared" si="7"/>
        <v>6.8092293428700119E-3</v>
      </c>
    </row>
    <row r="224" spans="1:5">
      <c r="A224" s="2">
        <v>45702</v>
      </c>
      <c r="B224">
        <v>20811.55078125</v>
      </c>
      <c r="C224">
        <v>5817.26171875</v>
      </c>
      <c r="D224">
        <f t="shared" si="6"/>
        <v>-2.872758513035889E-2</v>
      </c>
      <c r="E224">
        <f t="shared" si="7"/>
        <v>-2.7743112533773449E-2</v>
      </c>
    </row>
    <row r="225" spans="1:5">
      <c r="A225" s="2">
        <v>45705</v>
      </c>
      <c r="B225">
        <v>21076</v>
      </c>
      <c r="C225">
        <v>5896.89892578125</v>
      </c>
      <c r="D225">
        <f t="shared" si="6"/>
        <v>1.2706848304079935E-2</v>
      </c>
      <c r="E225">
        <f t="shared" si="7"/>
        <v>1.3689809893642237E-2</v>
      </c>
    </row>
    <row r="226" spans="1:5">
      <c r="A226" s="2">
        <v>45706</v>
      </c>
      <c r="B226">
        <v>20969.19921875</v>
      </c>
      <c r="C226">
        <v>5813.23046875</v>
      </c>
      <c r="D226">
        <f t="shared" si="6"/>
        <v>-5.0674122817422661E-3</v>
      </c>
      <c r="E226">
        <f t="shared" si="7"/>
        <v>-1.4188551997296645E-2</v>
      </c>
    </row>
    <row r="227" spans="1:5">
      <c r="A227" s="2">
        <v>45707</v>
      </c>
      <c r="B227">
        <v>20820</v>
      </c>
      <c r="C227">
        <v>5907.99853515625</v>
      </c>
      <c r="D227">
        <f t="shared" si="6"/>
        <v>-7.1151605358678047E-3</v>
      </c>
      <c r="E227">
        <f t="shared" si="7"/>
        <v>1.6302134745163073E-2</v>
      </c>
    </row>
    <row r="228" spans="1:5">
      <c r="A228" s="2">
        <v>45708</v>
      </c>
      <c r="B228">
        <v>20785.75</v>
      </c>
      <c r="C228">
        <v>5951.20166015625</v>
      </c>
      <c r="D228">
        <f t="shared" si="6"/>
        <v>-1.6450528338136407E-3</v>
      </c>
      <c r="E228">
        <f t="shared" si="7"/>
        <v>7.3126499173814365E-3</v>
      </c>
    </row>
    <row r="229" spans="1:5">
      <c r="A229" s="2">
        <v>45709</v>
      </c>
      <c r="B229">
        <v>20385.650390625</v>
      </c>
      <c r="C229">
        <v>5730.95458984375</v>
      </c>
      <c r="D229">
        <f t="shared" si="6"/>
        <v>-1.9248745384458102E-2</v>
      </c>
      <c r="E229">
        <f t="shared" si="7"/>
        <v>-3.700884004436801E-2</v>
      </c>
    </row>
    <row r="230" spans="1:5">
      <c r="A230" s="2">
        <v>45712</v>
      </c>
      <c r="B230">
        <v>20389.69921875</v>
      </c>
      <c r="C230">
        <v>5676.70166015625</v>
      </c>
      <c r="D230">
        <f t="shared" si="6"/>
        <v>1.9861167279028706E-4</v>
      </c>
      <c r="E230">
        <f t="shared" si="7"/>
        <v>-9.4666479793166815E-3</v>
      </c>
    </row>
    <row r="231" spans="1:5">
      <c r="A231" s="2">
        <v>45713</v>
      </c>
      <c r="B231">
        <v>20249.150390625</v>
      </c>
      <c r="C231">
        <v>5700.443359375</v>
      </c>
      <c r="D231">
        <f t="shared" si="6"/>
        <v>-6.893129055859433E-3</v>
      </c>
      <c r="E231">
        <f t="shared" si="7"/>
        <v>4.1823052610618456E-3</v>
      </c>
    </row>
    <row r="232" spans="1:5">
      <c r="A232" s="2">
        <v>45715</v>
      </c>
      <c r="B232">
        <v>20201.25</v>
      </c>
      <c r="C232">
        <v>5590.3447265625</v>
      </c>
      <c r="D232">
        <f t="shared" si="6"/>
        <v>-2.3655506379752621E-3</v>
      </c>
      <c r="E232">
        <f t="shared" si="7"/>
        <v>-1.9314047324306943E-2</v>
      </c>
    </row>
    <row r="233" spans="1:5">
      <c r="A233" s="2">
        <v>45716</v>
      </c>
      <c r="B233">
        <v>19813.5</v>
      </c>
      <c r="C233">
        <v>5455.4091796875</v>
      </c>
      <c r="D233">
        <f t="shared" si="6"/>
        <v>-1.9194356784852422E-2</v>
      </c>
      <c r="E233">
        <f t="shared" si="7"/>
        <v>-2.4137249753821855E-2</v>
      </c>
    </row>
    <row r="234" spans="1:5">
      <c r="A234" s="2">
        <v>45719</v>
      </c>
      <c r="B234">
        <v>19879.80078125</v>
      </c>
      <c r="C234">
        <v>5515.13720703125</v>
      </c>
      <c r="D234">
        <f t="shared" si="6"/>
        <v>3.3462427763898354E-3</v>
      </c>
      <c r="E234">
        <f t="shared" si="7"/>
        <v>1.0948404670751274E-2</v>
      </c>
    </row>
    <row r="235" spans="1:5">
      <c r="A235" s="2">
        <v>45720</v>
      </c>
      <c r="B235">
        <v>19820.650390625</v>
      </c>
      <c r="C235">
        <v>5492.68994140625</v>
      </c>
      <c r="D235">
        <f t="shared" si="6"/>
        <v>-2.9754015785102223E-3</v>
      </c>
      <c r="E235">
        <f t="shared" si="7"/>
        <v>-4.0701191615653684E-3</v>
      </c>
    </row>
    <row r="236" spans="1:5">
      <c r="A236" s="2">
        <v>45721</v>
      </c>
      <c r="B236">
        <v>20126.80078125</v>
      </c>
      <c r="C236">
        <v>5491.54443359375</v>
      </c>
      <c r="D236">
        <f t="shared" si="6"/>
        <v>1.544603151720019E-2</v>
      </c>
      <c r="E236">
        <f t="shared" si="7"/>
        <v>-2.0855133363066269E-4</v>
      </c>
    </row>
    <row r="237" spans="1:5">
      <c r="A237" s="2">
        <v>45722</v>
      </c>
      <c r="B237">
        <v>20423.349609375</v>
      </c>
      <c r="C237">
        <v>5543.45849609375</v>
      </c>
      <c r="D237">
        <f t="shared" si="6"/>
        <v>1.4734027098895071E-2</v>
      </c>
      <c r="E237">
        <f t="shared" si="7"/>
        <v>9.4534539650490725E-3</v>
      </c>
    </row>
    <row r="238" spans="1:5">
      <c r="A238" s="2">
        <v>45723</v>
      </c>
      <c r="B238">
        <v>20378.30078125</v>
      </c>
      <c r="C238">
        <v>5553.462890625</v>
      </c>
      <c r="D238">
        <f t="shared" si="6"/>
        <v>-2.2057512105811026E-3</v>
      </c>
      <c r="E238">
        <f t="shared" si="7"/>
        <v>1.8047207421683937E-3</v>
      </c>
    </row>
    <row r="239" spans="1:5">
      <c r="A239" s="2">
        <v>45726</v>
      </c>
      <c r="B239">
        <v>20256.55078125</v>
      </c>
      <c r="C239">
        <v>5489.25537109375</v>
      </c>
      <c r="D239">
        <f t="shared" si="6"/>
        <v>-5.9744922457922369E-3</v>
      </c>
      <c r="E239">
        <f t="shared" si="7"/>
        <v>-1.1561708576398523E-2</v>
      </c>
    </row>
    <row r="240" spans="1:5">
      <c r="A240" s="2">
        <v>45727</v>
      </c>
      <c r="B240">
        <v>20332.099609375</v>
      </c>
      <c r="C240">
        <v>5521.1103515625</v>
      </c>
      <c r="D240">
        <f t="shared" si="6"/>
        <v>3.7295998188857501E-3</v>
      </c>
      <c r="E240">
        <f t="shared" si="7"/>
        <v>5.8031514869024579E-3</v>
      </c>
    </row>
    <row r="241" spans="1:5">
      <c r="A241" s="2">
        <v>45728</v>
      </c>
      <c r="B241">
        <v>20424</v>
      </c>
      <c r="C241">
        <v>5641.4619140625</v>
      </c>
      <c r="D241">
        <f t="shared" si="6"/>
        <v>4.5199655908937869E-3</v>
      </c>
      <c r="E241">
        <f t="shared" si="7"/>
        <v>2.1798434524305414E-2</v>
      </c>
    </row>
    <row r="242" spans="1:5">
      <c r="A242" s="2">
        <v>45729</v>
      </c>
      <c r="B242">
        <v>20386.849609375</v>
      </c>
      <c r="C242">
        <v>5594.97412109375</v>
      </c>
      <c r="D242">
        <f t="shared" si="6"/>
        <v>-1.8189576295045045E-3</v>
      </c>
      <c r="E242">
        <f t="shared" si="7"/>
        <v>-8.2403805391062998E-3</v>
      </c>
    </row>
    <row r="243" spans="1:5">
      <c r="A243" s="2">
        <v>45733</v>
      </c>
      <c r="B243">
        <v>20703.94921875</v>
      </c>
      <c r="C243">
        <v>5645.1455078125</v>
      </c>
      <c r="D243">
        <f t="shared" si="6"/>
        <v>1.5554125107646847E-2</v>
      </c>
      <c r="E243">
        <f t="shared" si="7"/>
        <v>8.9672240894908915E-3</v>
      </c>
    </row>
    <row r="244" spans="1:5">
      <c r="A244" s="2">
        <v>45734</v>
      </c>
      <c r="B244">
        <v>21041.30078125</v>
      </c>
      <c r="C244">
        <v>5645.1455078125</v>
      </c>
      <c r="D244">
        <f t="shared" si="6"/>
        <v>1.6294068292752872E-2</v>
      </c>
      <c r="E244">
        <f t="shared" si="7"/>
        <v>0</v>
      </c>
    </row>
    <row r="245" spans="1:5">
      <c r="A245" s="2">
        <v>45735</v>
      </c>
      <c r="B245">
        <v>21145.650390625</v>
      </c>
      <c r="C245">
        <v>5791.72802734375</v>
      </c>
      <c r="D245">
        <f t="shared" si="6"/>
        <v>4.9592755913639344E-3</v>
      </c>
      <c r="E245">
        <f t="shared" si="7"/>
        <v>2.5966118911973073E-2</v>
      </c>
    </row>
    <row r="246" spans="1:5">
      <c r="A246" s="2">
        <v>45736</v>
      </c>
      <c r="B246">
        <v>21340.599609375</v>
      </c>
      <c r="C246">
        <v>5795.7099609375</v>
      </c>
      <c r="D246">
        <f t="shared" si="6"/>
        <v>9.2193531600442725E-3</v>
      </c>
      <c r="E246">
        <f t="shared" si="7"/>
        <v>6.875208184760408E-4</v>
      </c>
    </row>
    <row r="247" spans="1:5">
      <c r="A247" s="2">
        <v>45737</v>
      </c>
      <c r="B247">
        <v>21625.900390625</v>
      </c>
      <c r="C247">
        <v>5771.072265625</v>
      </c>
      <c r="D247">
        <f t="shared" si="6"/>
        <v>1.3368920577314349E-2</v>
      </c>
      <c r="E247">
        <f t="shared" si="7"/>
        <v>-4.2510228218036409E-3</v>
      </c>
    </row>
    <row r="248" spans="1:5">
      <c r="A248" s="2">
        <v>45740</v>
      </c>
      <c r="B248">
        <v>21771.150390625</v>
      </c>
      <c r="C248">
        <v>5883.908203125</v>
      </c>
      <c r="D248">
        <f t="shared" si="6"/>
        <v>6.7164833545135085E-3</v>
      </c>
      <c r="E248">
        <f t="shared" si="7"/>
        <v>1.9551988314563239E-2</v>
      </c>
    </row>
    <row r="249" spans="1:5">
      <c r="A249" s="2">
        <v>45741</v>
      </c>
      <c r="B249">
        <v>21542.5</v>
      </c>
      <c r="C249">
        <v>5814.17578125</v>
      </c>
      <c r="D249">
        <f t="shared" si="6"/>
        <v>-1.0502448723309563E-2</v>
      </c>
      <c r="E249">
        <f t="shared" si="7"/>
        <v>-1.1851378279145218E-2</v>
      </c>
    </row>
    <row r="250" spans="1:5">
      <c r="A250" s="2">
        <v>45742</v>
      </c>
      <c r="B250">
        <v>21360.599609375</v>
      </c>
      <c r="C250">
        <v>5812.732421875</v>
      </c>
      <c r="D250">
        <f t="shared" si="6"/>
        <v>-8.4437920680051053E-3</v>
      </c>
      <c r="E250">
        <f t="shared" si="7"/>
        <v>-2.4824832088060633E-4</v>
      </c>
    </row>
    <row r="251" spans="1:5">
      <c r="A251" s="2">
        <v>45743</v>
      </c>
      <c r="B251">
        <v>21275.150390625</v>
      </c>
      <c r="C251">
        <v>5846.03076171875</v>
      </c>
      <c r="D251">
        <f t="shared" si="6"/>
        <v>-4.0003192940565677E-3</v>
      </c>
      <c r="E251">
        <f t="shared" si="7"/>
        <v>5.7285175760781069E-3</v>
      </c>
    </row>
    <row r="252" spans="1:5">
      <c r="A252" s="2">
        <v>45744</v>
      </c>
      <c r="B252">
        <v>21137.44921875</v>
      </c>
      <c r="C252">
        <v>5749.271484375</v>
      </c>
      <c r="D252">
        <f t="shared" si="6"/>
        <v>-6.4723947585197186E-3</v>
      </c>
      <c r="E252">
        <f t="shared" si="7"/>
        <v>-1.6551277488540361E-2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B42C4-F888-4C28-B1DC-ED84D441F164}">
  <dimension ref="A1:X252"/>
  <sheetViews>
    <sheetView topLeftCell="F1" workbookViewId="0">
      <selection activeCell="W9" sqref="W9"/>
    </sheetView>
  </sheetViews>
  <sheetFormatPr defaultRowHeight="15" customHeight="1"/>
  <cols>
    <col min="2" max="2" width="42" bestFit="1" customWidth="1"/>
    <col min="3" max="3" width="14.109375" bestFit="1" customWidth="1"/>
    <col min="4" max="5" width="1.88671875" bestFit="1" customWidth="1"/>
    <col min="6" max="6" width="52.6640625" bestFit="1" customWidth="1"/>
    <col min="7" max="7" width="8.44140625" bestFit="1" customWidth="1"/>
    <col min="8" max="9" width="8.44140625" customWidth="1"/>
    <col min="10" max="10" width="17" bestFit="1" customWidth="1"/>
    <col min="11" max="11" width="12.33203125" bestFit="1" customWidth="1"/>
    <col min="12" max="12" width="18.88671875" bestFit="1" customWidth="1"/>
    <col min="13" max="13" width="75.109375" bestFit="1" customWidth="1"/>
    <col min="16" max="16" width="11.109375" bestFit="1" customWidth="1"/>
    <col min="17" max="17" width="13.44140625" bestFit="1" customWidth="1"/>
    <col min="18" max="18" width="12.33203125" bestFit="1" customWidth="1"/>
    <col min="19" max="20" width="12.5546875" bestFit="1" customWidth="1"/>
    <col min="23" max="23" width="27.6640625" bestFit="1" customWidth="1"/>
    <col min="24" max="24" width="17" bestFit="1" customWidth="1"/>
  </cols>
  <sheetData>
    <row r="1" spans="1:24" ht="14.4">
      <c r="A1" s="14"/>
      <c r="B1" s="14"/>
      <c r="C1" s="14"/>
      <c r="D1" s="14"/>
      <c r="E1" s="14"/>
      <c r="F1" s="14"/>
      <c r="G1" s="14"/>
      <c r="H1" s="14"/>
      <c r="I1" s="14"/>
      <c r="J1" s="14"/>
    </row>
    <row r="2" spans="1:24" ht="21">
      <c r="A2" s="14"/>
      <c r="B2" s="14"/>
      <c r="C2" s="67" t="s">
        <v>156</v>
      </c>
      <c r="D2" s="68"/>
      <c r="E2" s="68"/>
      <c r="F2" s="69"/>
      <c r="G2" s="14"/>
      <c r="H2" s="14"/>
      <c r="I2" s="14"/>
      <c r="J2" s="14"/>
      <c r="P2" s="64" t="s">
        <v>155</v>
      </c>
      <c r="Q2" s="65"/>
      <c r="R2" s="65"/>
      <c r="S2" s="65"/>
      <c r="T2" s="66"/>
    </row>
    <row r="3" spans="1:24" ht="14.4">
      <c r="A3" s="14"/>
      <c r="B3" s="14"/>
      <c r="C3" s="14"/>
      <c r="D3" s="14"/>
      <c r="E3" s="14"/>
      <c r="F3" s="14"/>
      <c r="G3" s="14"/>
      <c r="H3" s="14"/>
      <c r="I3" s="14"/>
      <c r="J3" s="14"/>
      <c r="P3" s="57" t="s">
        <v>1</v>
      </c>
      <c r="Q3" s="57" t="s">
        <v>2</v>
      </c>
      <c r="R3" s="57" t="s">
        <v>2</v>
      </c>
      <c r="S3" s="57" t="s">
        <v>3</v>
      </c>
      <c r="T3" s="57" t="s">
        <v>3</v>
      </c>
      <c r="W3" s="57" t="s">
        <v>142</v>
      </c>
      <c r="X3" s="57" t="s">
        <v>143</v>
      </c>
    </row>
    <row r="4" spans="1:24" ht="14.4">
      <c r="A4" s="14"/>
      <c r="B4" s="16" t="s">
        <v>157</v>
      </c>
      <c r="C4" s="17">
        <v>46105</v>
      </c>
      <c r="D4" s="15" t="s">
        <v>16</v>
      </c>
      <c r="E4" s="14"/>
      <c r="F4" s="16" t="s">
        <v>158</v>
      </c>
      <c r="G4" s="17">
        <v>46105</v>
      </c>
      <c r="H4" s="33"/>
      <c r="I4" s="33"/>
      <c r="J4" s="14"/>
      <c r="P4" s="57" t="s">
        <v>6</v>
      </c>
      <c r="Q4" s="57" t="s">
        <v>7</v>
      </c>
      <c r="R4" s="57" t="s">
        <v>155</v>
      </c>
      <c r="S4" s="57" t="s">
        <v>8</v>
      </c>
      <c r="T4" s="57" t="s">
        <v>9</v>
      </c>
      <c r="W4" s="41">
        <f>_xlfn.COVARIANCE.S(S7:S252,T7:T252)</f>
        <v>1.0872478940574695E-4</v>
      </c>
      <c r="X4" s="41">
        <f>_xlfn.VAR.S(S7:S252)</f>
        <v>1.0123143075821166E-4</v>
      </c>
    </row>
    <row r="5" spans="1:24" ht="14.4">
      <c r="A5" s="14"/>
      <c r="B5" s="18" t="s">
        <v>16</v>
      </c>
      <c r="C5" s="19" t="s">
        <v>17</v>
      </c>
      <c r="D5" s="14" t="s">
        <v>16</v>
      </c>
      <c r="E5" s="14"/>
      <c r="F5" s="18" t="s">
        <v>16</v>
      </c>
      <c r="G5" s="19" t="s">
        <v>17</v>
      </c>
      <c r="H5" s="14"/>
      <c r="I5" s="14"/>
      <c r="J5" s="14" t="s">
        <v>16</v>
      </c>
      <c r="P5" s="57" t="s">
        <v>10</v>
      </c>
      <c r="Q5" s="57"/>
      <c r="R5" s="57"/>
      <c r="S5" s="57"/>
      <c r="T5" s="57"/>
    </row>
    <row r="6" spans="1:24" ht="14.4">
      <c r="A6" s="14"/>
      <c r="B6" s="18" t="s">
        <v>18</v>
      </c>
      <c r="C6" s="19" t="s">
        <v>19</v>
      </c>
      <c r="D6" s="14" t="s">
        <v>16</v>
      </c>
      <c r="E6" s="14"/>
      <c r="F6" s="18" t="s">
        <v>20</v>
      </c>
      <c r="G6" s="19" t="s">
        <v>19</v>
      </c>
      <c r="H6" s="14"/>
      <c r="I6" s="14"/>
      <c r="J6" s="14" t="s">
        <v>16</v>
      </c>
      <c r="P6" s="53">
        <v>45383</v>
      </c>
      <c r="Q6" s="41">
        <v>19207.900390625</v>
      </c>
      <c r="R6" s="41">
        <v>3530.11083984375</v>
      </c>
      <c r="S6" s="41"/>
      <c r="T6" s="41"/>
      <c r="W6" s="57" t="s">
        <v>11</v>
      </c>
    </row>
    <row r="7" spans="1:24" ht="14.4">
      <c r="A7" s="14"/>
      <c r="B7" s="18" t="s">
        <v>21</v>
      </c>
      <c r="C7" s="19" t="s">
        <v>19</v>
      </c>
      <c r="D7" s="14" t="s">
        <v>16</v>
      </c>
      <c r="E7" s="14"/>
      <c r="F7" s="18" t="s">
        <v>22</v>
      </c>
      <c r="G7" s="20">
        <v>7796</v>
      </c>
      <c r="H7" s="26"/>
      <c r="I7" s="26"/>
      <c r="J7" s="14" t="s">
        <v>16</v>
      </c>
      <c r="P7" s="53">
        <v>45384</v>
      </c>
      <c r="Q7" s="41">
        <v>19185.150390625</v>
      </c>
      <c r="R7" s="41">
        <v>3584.08227539062</v>
      </c>
      <c r="S7" s="41">
        <f>(Q7-Q6)/Q6</f>
        <v>-1.1844084744995777E-3</v>
      </c>
      <c r="T7" s="41">
        <f>(R7-R6)/R6</f>
        <v>1.5288878450416838E-2</v>
      </c>
      <c r="W7" s="41">
        <f>W4/X4</f>
        <v>1.0740220561085712</v>
      </c>
    </row>
    <row r="8" spans="1:24" ht="14.4">
      <c r="A8" s="14"/>
      <c r="B8" s="18" t="s">
        <v>23</v>
      </c>
      <c r="C8" s="19">
        <v>53</v>
      </c>
      <c r="D8" s="14" t="s">
        <v>16</v>
      </c>
      <c r="E8" s="14"/>
      <c r="F8" s="18" t="s">
        <v>24</v>
      </c>
      <c r="G8" s="19">
        <v>0</v>
      </c>
      <c r="H8" s="14"/>
      <c r="I8" s="14"/>
      <c r="J8" s="14" t="s">
        <v>16</v>
      </c>
      <c r="P8" s="53">
        <v>45385</v>
      </c>
      <c r="Q8" s="41">
        <v>19153.05078125</v>
      </c>
      <c r="R8" s="41">
        <v>3645.82055664062</v>
      </c>
      <c r="S8" s="41">
        <f t="shared" ref="S8:T71" si="0">(Q8-Q7)/Q7</f>
        <v>-1.6731486968528414E-3</v>
      </c>
      <c r="T8" s="41">
        <f t="shared" si="0"/>
        <v>1.7225687499953193E-2</v>
      </c>
    </row>
    <row r="9" spans="1:24" ht="14.4">
      <c r="A9" s="14"/>
      <c r="B9" s="18" t="s">
        <v>25</v>
      </c>
      <c r="C9" s="19">
        <v>53</v>
      </c>
      <c r="D9" s="14" t="s">
        <v>16</v>
      </c>
      <c r="E9" s="14"/>
      <c r="F9" s="18" t="s">
        <v>26</v>
      </c>
      <c r="G9" s="20">
        <v>7796</v>
      </c>
      <c r="H9" s="26"/>
      <c r="I9" s="26"/>
      <c r="J9" s="14" t="s">
        <v>16</v>
      </c>
      <c r="P9" s="53">
        <v>45386</v>
      </c>
      <c r="Q9" s="41">
        <v>19125.19921875</v>
      </c>
      <c r="R9" s="41">
        <v>3694.59765625</v>
      </c>
      <c r="S9" s="41">
        <f t="shared" si="0"/>
        <v>-1.4541580251677432E-3</v>
      </c>
      <c r="T9" s="41">
        <f t="shared" si="0"/>
        <v>1.3378908493051244E-2</v>
      </c>
      <c r="W9" s="57" t="s">
        <v>12</v>
      </c>
    </row>
    <row r="10" spans="1:24" ht="14.4">
      <c r="A10" s="14"/>
      <c r="B10" s="18" t="s">
        <v>27</v>
      </c>
      <c r="C10" s="20">
        <v>13518</v>
      </c>
      <c r="D10" s="14" t="s">
        <v>16</v>
      </c>
      <c r="E10" s="14"/>
      <c r="F10" s="18" t="s">
        <v>28</v>
      </c>
      <c r="G10" s="20">
        <v>7845</v>
      </c>
      <c r="H10" s="26"/>
      <c r="I10" s="26"/>
      <c r="J10" s="14"/>
      <c r="P10" s="53">
        <v>45387</v>
      </c>
      <c r="Q10" s="41">
        <v>19160.75</v>
      </c>
      <c r="R10" s="41">
        <v>3708.39965820312</v>
      </c>
      <c r="S10" s="41">
        <f t="shared" si="0"/>
        <v>1.8588450161160495E-3</v>
      </c>
      <c r="T10" s="41">
        <f t="shared" si="0"/>
        <v>3.735725304153678E-3</v>
      </c>
      <c r="W10" s="41">
        <f>AVERAGE(S7:S252)</f>
        <v>4.3962859287504746E-4</v>
      </c>
    </row>
    <row r="11" spans="1:24" ht="14.4">
      <c r="A11" s="14"/>
      <c r="B11" s="18" t="s">
        <v>29</v>
      </c>
      <c r="C11" s="20">
        <v>13518</v>
      </c>
      <c r="D11" s="14" t="s">
        <v>16</v>
      </c>
      <c r="E11" s="14"/>
      <c r="F11" s="18" t="s">
        <v>30</v>
      </c>
      <c r="G11" s="19">
        <v>339</v>
      </c>
      <c r="H11" s="14"/>
      <c r="I11" s="14"/>
      <c r="J11" s="14"/>
      <c r="P11" s="53">
        <v>45390</v>
      </c>
      <c r="Q11" s="41">
        <v>19218.849609375</v>
      </c>
      <c r="R11" s="41">
        <v>3755.74243164062</v>
      </c>
      <c r="S11" s="41">
        <f t="shared" si="0"/>
        <v>3.0322200005219002E-3</v>
      </c>
      <c r="T11" s="41">
        <f t="shared" si="0"/>
        <v>1.2766362258926434E-2</v>
      </c>
    </row>
    <row r="12" spans="1:24" ht="14.4">
      <c r="A12" s="14"/>
      <c r="B12" s="18" t="s">
        <v>31</v>
      </c>
      <c r="C12" s="20">
        <v>13571</v>
      </c>
      <c r="D12" s="14" t="s">
        <v>16</v>
      </c>
      <c r="E12" s="14"/>
      <c r="F12" s="18" t="s">
        <v>32</v>
      </c>
      <c r="G12" s="20">
        <v>8184</v>
      </c>
      <c r="H12" s="26"/>
      <c r="I12" s="26"/>
      <c r="J12" s="14" t="s">
        <v>16</v>
      </c>
      <c r="P12" s="53">
        <v>45391</v>
      </c>
      <c r="Q12" s="41">
        <v>19182.30078125</v>
      </c>
      <c r="R12" s="41">
        <v>3764.59741210937</v>
      </c>
      <c r="S12" s="41">
        <f t="shared" si="0"/>
        <v>-1.901717785812289E-3</v>
      </c>
      <c r="T12" s="41">
        <f t="shared" si="0"/>
        <v>2.3577177162497484E-3</v>
      </c>
    </row>
    <row r="13" spans="1:24" ht="14.4">
      <c r="A13" s="14"/>
      <c r="B13" s="18" t="s">
        <v>33</v>
      </c>
      <c r="C13" s="19">
        <v>0</v>
      </c>
      <c r="D13" s="14" t="s">
        <v>16</v>
      </c>
      <c r="E13" s="14"/>
      <c r="F13" s="18" t="s">
        <v>34</v>
      </c>
      <c r="G13" s="19" t="s">
        <v>19</v>
      </c>
      <c r="H13" s="14"/>
      <c r="I13" s="14"/>
      <c r="J13" s="51" t="s">
        <v>35</v>
      </c>
      <c r="K13" s="45">
        <f>C15 + C21</f>
        <v>0</v>
      </c>
      <c r="L13" s="46" t="str">
        <f ca="1">_xlfn.FORMULATEXT(K13)</f>
        <v>=C15 + C21</v>
      </c>
      <c r="M13" s="46" t="s">
        <v>36</v>
      </c>
      <c r="P13" s="53">
        <v>45392</v>
      </c>
      <c r="Q13" s="41">
        <v>19117</v>
      </c>
      <c r="R13" s="41">
        <v>3699.44604492187</v>
      </c>
      <c r="S13" s="41">
        <f t="shared" si="0"/>
        <v>-3.4042204840114454E-3</v>
      </c>
      <c r="T13" s="41">
        <f t="shared" si="0"/>
        <v>-1.7306330546244132E-2</v>
      </c>
    </row>
    <row r="14" spans="1:24" ht="14.4">
      <c r="A14" s="14"/>
      <c r="B14" s="18" t="s">
        <v>37</v>
      </c>
      <c r="C14" s="19" t="s">
        <v>19</v>
      </c>
      <c r="D14" s="14" t="s">
        <v>16</v>
      </c>
      <c r="E14" s="14"/>
      <c r="F14" s="18" t="s">
        <v>38</v>
      </c>
      <c r="G14" s="20">
        <v>3232</v>
      </c>
      <c r="H14" s="26"/>
      <c r="I14" s="26"/>
      <c r="J14" s="52" t="s">
        <v>39</v>
      </c>
      <c r="K14" s="47">
        <f>K27 / K28</f>
        <v>2.1546629732225302</v>
      </c>
      <c r="L14" s="48" t="str">
        <f ca="1">_xlfn.FORMULATEXT(K14)</f>
        <v>=K27 / K28</v>
      </c>
      <c r="M14" s="48" t="s">
        <v>40</v>
      </c>
      <c r="P14" s="53">
        <v>45394</v>
      </c>
      <c r="Q14" s="41">
        <v>18788.650390625</v>
      </c>
      <c r="R14" s="41">
        <v>3739.615234375</v>
      </c>
      <c r="S14" s="41">
        <f t="shared" si="0"/>
        <v>-1.717579167102579E-2</v>
      </c>
      <c r="T14" s="41">
        <f t="shared" si="0"/>
        <v>1.0858163348069143E-2</v>
      </c>
    </row>
    <row r="15" spans="1:24" ht="14.4">
      <c r="A15" s="14"/>
      <c r="B15" s="18" t="s">
        <v>41</v>
      </c>
      <c r="C15" s="19">
        <v>0</v>
      </c>
      <c r="D15" s="14" t="s">
        <v>16</v>
      </c>
      <c r="E15" s="14"/>
      <c r="F15" s="18" t="s">
        <v>42</v>
      </c>
      <c r="G15" s="19">
        <v>6</v>
      </c>
      <c r="H15" s="14"/>
      <c r="I15" s="14"/>
      <c r="J15" s="51" t="s">
        <v>43</v>
      </c>
      <c r="K15" s="49">
        <f>K28 / K29</f>
        <v>1.0013869625520111</v>
      </c>
      <c r="L15" s="46" t="str">
        <f t="shared" ref="L15:L21" ca="1" si="1">_xlfn.FORMULATEXT(K15)</f>
        <v>=K28 / K29</v>
      </c>
      <c r="M15" s="46" t="s">
        <v>44</v>
      </c>
      <c r="P15" s="53">
        <v>45397</v>
      </c>
      <c r="Q15" s="41">
        <v>18617.650390625</v>
      </c>
      <c r="R15" s="41">
        <v>3677.13500976562</v>
      </c>
      <c r="S15" s="41">
        <f t="shared" si="0"/>
        <v>-9.1012391228123615E-3</v>
      </c>
      <c r="T15" s="41">
        <f t="shared" si="0"/>
        <v>-1.6707661268211271E-2</v>
      </c>
    </row>
    <row r="16" spans="1:24" ht="14.4">
      <c r="A16" s="14"/>
      <c r="B16" s="18" t="s">
        <v>45</v>
      </c>
      <c r="C16" s="19">
        <v>582</v>
      </c>
      <c r="D16" s="14" t="s">
        <v>16</v>
      </c>
      <c r="E16" s="14"/>
      <c r="F16" s="18" t="s">
        <v>46</v>
      </c>
      <c r="G16" s="19">
        <v>0</v>
      </c>
      <c r="H16" s="14"/>
      <c r="I16" s="14"/>
      <c r="J16" s="51" t="s">
        <v>47</v>
      </c>
      <c r="K16" s="46">
        <f>K14 * K15</f>
        <v>2.1576514100785946</v>
      </c>
      <c r="L16" s="46" t="str">
        <f t="shared" ca="1" si="1"/>
        <v>=K14 * K15</v>
      </c>
      <c r="M16" s="46" t="s">
        <v>48</v>
      </c>
      <c r="P16" s="53">
        <v>45398</v>
      </c>
      <c r="Q16" s="41">
        <v>18695.599609375</v>
      </c>
      <c r="R16" s="41">
        <v>3724.27954101562</v>
      </c>
      <c r="S16" s="41">
        <f t="shared" si="0"/>
        <v>4.1868451235528448E-3</v>
      </c>
      <c r="T16" s="41">
        <f t="shared" si="0"/>
        <v>1.2820995455645504E-2</v>
      </c>
    </row>
    <row r="17" spans="1:20" ht="14.4">
      <c r="A17" s="14"/>
      <c r="B17" s="18" t="s">
        <v>49</v>
      </c>
      <c r="C17" s="19">
        <v>2</v>
      </c>
      <c r="D17" s="14" t="s">
        <v>16</v>
      </c>
      <c r="E17" s="14"/>
      <c r="F17" s="18" t="s">
        <v>50</v>
      </c>
      <c r="G17" s="19">
        <v>-109</v>
      </c>
      <c r="H17" s="14"/>
      <c r="I17" s="14"/>
      <c r="J17" s="51" t="s">
        <v>51</v>
      </c>
      <c r="K17" s="49">
        <v>0</v>
      </c>
      <c r="L17" s="46" t="s">
        <v>159</v>
      </c>
      <c r="M17" s="46" t="s">
        <v>52</v>
      </c>
      <c r="P17" s="53">
        <v>45400</v>
      </c>
      <c r="Q17" s="41">
        <v>18525.75</v>
      </c>
      <c r="R17" s="41">
        <v>3669.56591796875</v>
      </c>
      <c r="S17" s="41">
        <f t="shared" si="0"/>
        <v>-9.0850046494271343E-3</v>
      </c>
      <c r="T17" s="41">
        <f t="shared" si="0"/>
        <v>-1.4691062377114008E-2</v>
      </c>
    </row>
    <row r="18" spans="1:20" ht="14.4">
      <c r="A18" s="14"/>
      <c r="B18" s="18" t="s">
        <v>53</v>
      </c>
      <c r="C18" s="19">
        <v>37</v>
      </c>
      <c r="D18" s="14" t="s">
        <v>16</v>
      </c>
      <c r="E18" s="14"/>
      <c r="F18" s="18" t="s">
        <v>54</v>
      </c>
      <c r="G18" s="20">
        <v>1094</v>
      </c>
      <c r="H18" s="26"/>
      <c r="I18" s="26"/>
      <c r="J18" s="51" t="s">
        <v>55</v>
      </c>
      <c r="K18" s="49">
        <f>K33+K31*(K32-K33)</f>
        <v>0.11402756516215738</v>
      </c>
      <c r="L18" s="46" t="str">
        <f t="shared" ca="1" si="1"/>
        <v>=K33+K31*(K32-K33)</v>
      </c>
      <c r="M18" s="46" t="s">
        <v>56</v>
      </c>
      <c r="P18" s="53">
        <v>45401</v>
      </c>
      <c r="Q18" s="41">
        <v>18404.599609375</v>
      </c>
      <c r="R18" s="41">
        <v>3632.76049804687</v>
      </c>
      <c r="S18" s="41">
        <f t="shared" si="0"/>
        <v>-6.5395673926831573E-3</v>
      </c>
      <c r="T18" s="41">
        <f t="shared" si="0"/>
        <v>-1.0029911097019688E-2</v>
      </c>
    </row>
    <row r="19" spans="1:20" ht="14.4">
      <c r="A19" s="14"/>
      <c r="B19" s="18" t="s">
        <v>57</v>
      </c>
      <c r="C19" s="19">
        <v>621</v>
      </c>
      <c r="D19" s="14" t="s">
        <v>16</v>
      </c>
      <c r="E19" s="14"/>
      <c r="F19" s="18" t="s">
        <v>58</v>
      </c>
      <c r="G19" s="19">
        <v>3</v>
      </c>
      <c r="H19" s="14"/>
      <c r="I19" s="14"/>
      <c r="J19" s="51" t="s">
        <v>59</v>
      </c>
      <c r="K19" s="50">
        <f>G31 / G25</f>
        <v>0.2602866389274156</v>
      </c>
      <c r="L19" s="46" t="str">
        <f t="shared" ca="1" si="1"/>
        <v>=G31 / G25</v>
      </c>
      <c r="M19" s="46" t="s">
        <v>60</v>
      </c>
      <c r="P19" s="53">
        <v>45404</v>
      </c>
      <c r="Q19" s="41">
        <v>18643</v>
      </c>
      <c r="R19" s="41">
        <v>3697.86279296875</v>
      </c>
      <c r="S19" s="41">
        <f t="shared" si="0"/>
        <v>1.2953304917514357E-2</v>
      </c>
      <c r="T19" s="41">
        <f t="shared" si="0"/>
        <v>1.7920888249275398E-2</v>
      </c>
    </row>
    <row r="20" spans="1:20" ht="14.4">
      <c r="A20" s="14"/>
      <c r="B20" s="18" t="s">
        <v>61</v>
      </c>
      <c r="C20" s="19" t="s">
        <v>19</v>
      </c>
      <c r="D20" s="14" t="s">
        <v>16</v>
      </c>
      <c r="E20" s="14"/>
      <c r="F20" s="18" t="s">
        <v>62</v>
      </c>
      <c r="G20" s="19">
        <v>378</v>
      </c>
      <c r="H20" s="14"/>
      <c r="I20" s="14"/>
      <c r="J20" s="51" t="s">
        <v>63</v>
      </c>
      <c r="K20" s="46">
        <f>K13 / (K13 + C12)</f>
        <v>0</v>
      </c>
      <c r="L20" s="46" t="str">
        <f t="shared" ca="1" si="1"/>
        <v>=K13 / (K13 + C12)</v>
      </c>
      <c r="M20" s="46" t="s">
        <v>64</v>
      </c>
      <c r="P20" s="53">
        <v>45405</v>
      </c>
      <c r="Q20" s="41">
        <v>18463.75</v>
      </c>
      <c r="R20" s="41">
        <v>3728.68212890625</v>
      </c>
      <c r="S20" s="41">
        <f t="shared" si="0"/>
        <v>-9.6148688515796821E-3</v>
      </c>
      <c r="T20" s="41">
        <f t="shared" si="0"/>
        <v>8.334364378283856E-3</v>
      </c>
    </row>
    <row r="21" spans="1:20" ht="14.4">
      <c r="A21" s="14"/>
      <c r="B21" s="18" t="s">
        <v>65</v>
      </c>
      <c r="C21" s="19">
        <v>0</v>
      </c>
      <c r="D21" s="14" t="s">
        <v>16</v>
      </c>
      <c r="E21" s="14"/>
      <c r="F21" s="18" t="s">
        <v>66</v>
      </c>
      <c r="G21" s="20">
        <v>1417</v>
      </c>
      <c r="H21" s="26"/>
      <c r="I21" s="26"/>
      <c r="J21" s="51" t="s">
        <v>67</v>
      </c>
      <c r="K21" s="46">
        <f>C12 / (K13 + C12)</f>
        <v>1</v>
      </c>
      <c r="L21" s="46" t="str">
        <f t="shared" ca="1" si="1"/>
        <v>=C12 / (K13 + C12)</v>
      </c>
      <c r="M21" s="46" t="s">
        <v>68</v>
      </c>
      <c r="P21" s="53">
        <v>45406</v>
      </c>
      <c r="Q21" s="41">
        <v>18586.19921875</v>
      </c>
      <c r="R21" s="41">
        <v>3773.353515625</v>
      </c>
      <c r="S21" s="41">
        <f t="shared" si="0"/>
        <v>6.6318715726761896E-3</v>
      </c>
      <c r="T21" s="41">
        <f t="shared" si="0"/>
        <v>1.1980475989744303E-2</v>
      </c>
    </row>
    <row r="22" spans="1:20" ht="14.4">
      <c r="A22" s="14"/>
      <c r="B22" s="18" t="s">
        <v>69</v>
      </c>
      <c r="C22" s="19">
        <v>824</v>
      </c>
      <c r="D22" s="14" t="s">
        <v>16</v>
      </c>
      <c r="E22" s="14"/>
      <c r="F22" s="18" t="s">
        <v>70</v>
      </c>
      <c r="G22" s="20">
        <v>6021</v>
      </c>
      <c r="H22" s="26"/>
      <c r="I22" s="26"/>
      <c r="J22" s="51" t="s">
        <v>71</v>
      </c>
      <c r="K22" s="49">
        <f>K21 * K18 + K20 * K17</f>
        <v>0.11402756516215738</v>
      </c>
      <c r="L22" s="46" t="str">
        <f ca="1">_xlfn.FORMULATEXT(K22)</f>
        <v>=K21 * K18 + K20 * K17</v>
      </c>
      <c r="M22" s="46" t="s">
        <v>72</v>
      </c>
      <c r="P22" s="53">
        <v>45407</v>
      </c>
      <c r="Q22" s="41">
        <v>18878.150390625</v>
      </c>
      <c r="R22" s="41">
        <v>3803.03564453125</v>
      </c>
      <c r="S22" s="41">
        <f t="shared" si="0"/>
        <v>1.5707954511779677E-2</v>
      </c>
      <c r="T22" s="41">
        <f t="shared" si="0"/>
        <v>7.8662465054864066E-3</v>
      </c>
    </row>
    <row r="23" spans="1:20" ht="14.4">
      <c r="A23" s="14"/>
      <c r="B23" s="18" t="s">
        <v>73</v>
      </c>
      <c r="C23" s="19">
        <v>447</v>
      </c>
      <c r="D23" s="14" t="s">
        <v>16</v>
      </c>
      <c r="E23" s="14"/>
      <c r="F23" s="18" t="s">
        <v>74</v>
      </c>
      <c r="G23" s="20">
        <v>2163</v>
      </c>
      <c r="H23" s="26"/>
      <c r="I23" s="26"/>
      <c r="J23" s="3" t="s">
        <v>16</v>
      </c>
      <c r="K23" s="24"/>
      <c r="L23" s="3"/>
      <c r="M23" s="3"/>
      <c r="P23" s="53">
        <v>45408</v>
      </c>
      <c r="Q23" s="41">
        <v>18994.650390625</v>
      </c>
      <c r="R23" s="41">
        <v>3973.75561523437</v>
      </c>
      <c r="S23" s="41">
        <f t="shared" si="0"/>
        <v>6.1711554145608772E-3</v>
      </c>
      <c r="T23" s="41">
        <f t="shared" si="0"/>
        <v>4.4890447174381502E-2</v>
      </c>
    </row>
    <row r="24" spans="1:20" ht="14.4">
      <c r="A24" s="14"/>
      <c r="B24" s="18" t="s">
        <v>75</v>
      </c>
      <c r="C24" s="19">
        <v>7</v>
      </c>
      <c r="D24" s="14" t="s">
        <v>16</v>
      </c>
      <c r="E24" s="14"/>
      <c r="F24" s="18" t="s">
        <v>76</v>
      </c>
      <c r="G24" s="19">
        <v>0</v>
      </c>
      <c r="H24" s="14"/>
      <c r="I24" s="14"/>
      <c r="J24" s="3" t="s">
        <v>16</v>
      </c>
      <c r="K24" s="3"/>
      <c r="L24" s="3"/>
      <c r="M24" s="3"/>
      <c r="P24" s="53">
        <v>45411</v>
      </c>
      <c r="Q24" s="41">
        <v>19096.900390625</v>
      </c>
      <c r="R24" s="41">
        <v>3946.94287109375</v>
      </c>
      <c r="S24" s="41">
        <f t="shared" si="0"/>
        <v>5.3830946028080888E-3</v>
      </c>
      <c r="T24" s="41">
        <f t="shared" si="0"/>
        <v>-6.7474567479254999E-3</v>
      </c>
    </row>
    <row r="25" spans="1:20" ht="14.4">
      <c r="A25" s="14"/>
      <c r="B25" s="18" t="s">
        <v>77</v>
      </c>
      <c r="C25" s="20">
        <v>1278</v>
      </c>
      <c r="D25" s="14" t="s">
        <v>16</v>
      </c>
      <c r="E25" s="14"/>
      <c r="F25" s="18" t="s">
        <v>78</v>
      </c>
      <c r="G25" s="20">
        <v>2163</v>
      </c>
      <c r="H25" s="26"/>
      <c r="I25" s="26"/>
      <c r="J25" s="3" t="s">
        <v>79</v>
      </c>
      <c r="K25" s="21">
        <f>G9</f>
        <v>7796</v>
      </c>
      <c r="L25" s="11" t="str">
        <f t="shared" ref="L25:L26" ca="1" si="2">_xlfn.FORMULATEXT(K25)</f>
        <v>=G9</v>
      </c>
      <c r="M25" s="11" t="s">
        <v>80</v>
      </c>
      <c r="P25" s="53">
        <v>45412</v>
      </c>
      <c r="Q25" s="41">
        <v>18970.599609375</v>
      </c>
      <c r="R25" s="41">
        <v>3959.95336914062</v>
      </c>
      <c r="S25" s="41">
        <f t="shared" si="0"/>
        <v>-6.6136796373511613E-3</v>
      </c>
      <c r="T25" s="41">
        <f t="shared" si="0"/>
        <v>3.2963482046206097E-3</v>
      </c>
    </row>
    <row r="26" spans="1:20" ht="14.4">
      <c r="A26" s="14"/>
      <c r="B26" s="18" t="s">
        <v>81</v>
      </c>
      <c r="C26" s="20">
        <v>15470</v>
      </c>
      <c r="D26" s="14" t="s">
        <v>16</v>
      </c>
      <c r="E26" s="14"/>
      <c r="F26" s="18" t="s">
        <v>82</v>
      </c>
      <c r="G26" s="19" t="s">
        <v>19</v>
      </c>
      <c r="H26" s="14"/>
      <c r="I26" s="14"/>
      <c r="J26" s="3" t="s">
        <v>83</v>
      </c>
      <c r="K26" s="21">
        <f>G14+G15+G17</f>
        <v>3129</v>
      </c>
      <c r="L26" s="11" t="str">
        <f t="shared" ca="1" si="2"/>
        <v>=G14+G15+G17</v>
      </c>
      <c r="M26" s="11" t="s">
        <v>84</v>
      </c>
      <c r="P26" s="53">
        <v>45414</v>
      </c>
      <c r="Q26" s="41">
        <v>19124.44921875</v>
      </c>
      <c r="R26" s="41">
        <v>3922.60375976562</v>
      </c>
      <c r="S26" s="41">
        <f t="shared" si="0"/>
        <v>8.1098970271329604E-3</v>
      </c>
      <c r="T26" s="41">
        <f t="shared" si="0"/>
        <v>-9.4318306033753952E-3</v>
      </c>
    </row>
    <row r="27" spans="1:20" ht="14.4">
      <c r="A27" s="14"/>
      <c r="B27" s="18" t="s">
        <v>85</v>
      </c>
      <c r="C27" s="19" t="s">
        <v>19</v>
      </c>
      <c r="D27" s="14" t="s">
        <v>16</v>
      </c>
      <c r="E27" s="14"/>
      <c r="F27" s="18" t="s">
        <v>86</v>
      </c>
      <c r="G27" s="19">
        <v>514</v>
      </c>
      <c r="H27" s="14"/>
      <c r="I27" s="14"/>
      <c r="J27" s="3" t="s">
        <v>87</v>
      </c>
      <c r="K27" s="21">
        <f>K25-K26</f>
        <v>4667</v>
      </c>
      <c r="L27" s="11" t="str">
        <f ca="1">_xlfn.FORMULATEXT(K27)</f>
        <v>=K25-K26</v>
      </c>
      <c r="M27" s="11" t="s">
        <v>88</v>
      </c>
      <c r="P27" s="53">
        <v>45415</v>
      </c>
      <c r="Q27" s="41">
        <v>19133.400390625</v>
      </c>
      <c r="R27" s="41">
        <v>3909.048828125</v>
      </c>
      <c r="S27" s="41">
        <f t="shared" si="0"/>
        <v>4.6804861006005281E-4</v>
      </c>
      <c r="T27" s="41">
        <f t="shared" si="0"/>
        <v>-3.4555954337406542E-3</v>
      </c>
    </row>
    <row r="28" spans="1:20" ht="14.4">
      <c r="A28" s="14"/>
      <c r="B28" s="18" t="s">
        <v>89</v>
      </c>
      <c r="C28" s="19" t="s">
        <v>19</v>
      </c>
      <c r="D28" s="14" t="s">
        <v>16</v>
      </c>
      <c r="E28" s="14"/>
      <c r="F28" s="18" t="s">
        <v>90</v>
      </c>
      <c r="G28" s="19">
        <v>0</v>
      </c>
      <c r="H28" s="14"/>
      <c r="I28" s="14"/>
      <c r="J28" s="3" t="s">
        <v>91</v>
      </c>
      <c r="K28" s="21">
        <f>G25+G19</f>
        <v>2166</v>
      </c>
      <c r="L28" s="11" t="str">
        <f ca="1">_xlfn.FORMULATEXT(K28)</f>
        <v>=G25+G19</v>
      </c>
      <c r="M28" s="11" t="s">
        <v>92</v>
      </c>
      <c r="P28" s="53">
        <v>45418</v>
      </c>
      <c r="Q28" s="41">
        <v>19203.30078125</v>
      </c>
      <c r="R28" s="41">
        <v>3920.97119140625</v>
      </c>
      <c r="S28" s="41">
        <f t="shared" si="0"/>
        <v>3.6533177165544422E-3</v>
      </c>
      <c r="T28" s="41">
        <f t="shared" si="0"/>
        <v>3.0499397181919154E-3</v>
      </c>
    </row>
    <row r="29" spans="1:20" ht="14.4">
      <c r="A29" s="14"/>
      <c r="B29" s="18" t="s">
        <v>93</v>
      </c>
      <c r="C29" s="20">
        <v>4735</v>
      </c>
      <c r="D29" s="14" t="s">
        <v>16</v>
      </c>
      <c r="E29" s="14"/>
      <c r="F29" s="18" t="s">
        <v>94</v>
      </c>
      <c r="G29" s="19">
        <v>49</v>
      </c>
      <c r="H29" s="14"/>
      <c r="I29" s="14"/>
      <c r="J29" s="3" t="s">
        <v>95</v>
      </c>
      <c r="K29" s="21">
        <f>G25</f>
        <v>2163</v>
      </c>
      <c r="L29" s="11" t="str">
        <f ca="1">_xlfn.FORMULATEXT(K29)</f>
        <v>=G25</v>
      </c>
      <c r="M29" s="11" t="s">
        <v>96</v>
      </c>
      <c r="P29" s="53">
        <v>45419</v>
      </c>
      <c r="Q29" s="41">
        <v>18846.30078125</v>
      </c>
      <c r="R29" s="41">
        <v>3869.91821289062</v>
      </c>
      <c r="S29" s="41">
        <f t="shared" si="0"/>
        <v>-1.8590553992081031E-2</v>
      </c>
      <c r="T29" s="41">
        <f t="shared" si="0"/>
        <v>-1.3020493144026373E-2</v>
      </c>
    </row>
    <row r="30" spans="1:20" ht="14.4">
      <c r="A30" s="14"/>
      <c r="B30" s="18" t="s">
        <v>97</v>
      </c>
      <c r="C30" s="19">
        <v>4</v>
      </c>
      <c r="D30" s="14" t="s">
        <v>16</v>
      </c>
      <c r="E30" s="14"/>
      <c r="F30" s="18" t="s">
        <v>98</v>
      </c>
      <c r="G30" s="19">
        <v>0</v>
      </c>
      <c r="H30" s="14"/>
      <c r="I30" s="14"/>
      <c r="J30" s="14" t="s">
        <v>16</v>
      </c>
      <c r="P30" s="53">
        <v>45420</v>
      </c>
      <c r="Q30" s="41">
        <v>18850.849609375</v>
      </c>
      <c r="R30" s="41">
        <v>3885.69946289062</v>
      </c>
      <c r="S30" s="41">
        <f t="shared" si="0"/>
        <v>2.4136450849418601E-4</v>
      </c>
      <c r="T30" s="41">
        <f t="shared" si="0"/>
        <v>4.0779285586535069E-3</v>
      </c>
    </row>
    <row r="31" spans="1:20" ht="14.4">
      <c r="A31" s="14"/>
      <c r="B31" s="18" t="s">
        <v>99</v>
      </c>
      <c r="C31" s="19">
        <v>778</v>
      </c>
      <c r="D31" s="14" t="s">
        <v>16</v>
      </c>
      <c r="E31" s="14"/>
      <c r="F31" s="18" t="s">
        <v>100</v>
      </c>
      <c r="G31" s="19">
        <v>563</v>
      </c>
      <c r="H31" s="14"/>
      <c r="I31" s="14"/>
      <c r="J31" s="25" t="s">
        <v>11</v>
      </c>
      <c r="K31">
        <f>'DIVISLAB Beta Calc'!H7</f>
        <v>1.0740220561085712</v>
      </c>
      <c r="P31" s="53">
        <v>45421</v>
      </c>
      <c r="Q31" s="41">
        <v>18437.05078125</v>
      </c>
      <c r="R31" s="41">
        <v>3749.75634765625</v>
      </c>
      <c r="S31" s="41">
        <f t="shared" si="0"/>
        <v>-2.1951203086316463E-2</v>
      </c>
      <c r="T31" s="41">
        <f t="shared" si="0"/>
        <v>-3.4985493997325319E-2</v>
      </c>
    </row>
    <row r="32" spans="1:20" ht="14.4">
      <c r="A32" s="14"/>
      <c r="B32" s="18" t="s">
        <v>101</v>
      </c>
      <c r="C32" s="20">
        <v>5517</v>
      </c>
      <c r="D32" s="14" t="s">
        <v>16</v>
      </c>
      <c r="E32" s="14"/>
      <c r="F32" s="18" t="s">
        <v>102</v>
      </c>
      <c r="G32" s="20">
        <v>1600</v>
      </c>
      <c r="H32" s="26"/>
      <c r="I32" s="26"/>
      <c r="J32" s="25" t="s">
        <v>103</v>
      </c>
      <c r="K32">
        <f>'DIVISLAB Beta Calc'!H10*252</f>
        <v>0.11078640540451196</v>
      </c>
      <c r="P32" s="53">
        <v>45422</v>
      </c>
      <c r="Q32" s="41">
        <v>18609.44921875</v>
      </c>
      <c r="R32" s="41">
        <v>3753.26879882812</v>
      </c>
      <c r="S32" s="41">
        <f t="shared" si="0"/>
        <v>9.3506515518916242E-3</v>
      </c>
      <c r="T32" s="41">
        <f t="shared" si="0"/>
        <v>9.3671450788140474E-4</v>
      </c>
    </row>
    <row r="33" spans="1:20" ht="14.4">
      <c r="A33" s="14"/>
      <c r="B33" s="18" t="s">
        <v>104</v>
      </c>
      <c r="C33" s="19">
        <v>82</v>
      </c>
      <c r="D33" s="14" t="s">
        <v>16</v>
      </c>
      <c r="E33" s="14"/>
      <c r="F33" s="18" t="s">
        <v>105</v>
      </c>
      <c r="G33" s="20">
        <v>1600</v>
      </c>
      <c r="H33" s="26"/>
      <c r="I33" s="26"/>
      <c r="J33" s="25" t="s">
        <v>106</v>
      </c>
      <c r="K33" s="25">
        <f>6.7/100</f>
        <v>6.7000000000000004E-2</v>
      </c>
      <c r="L33" s="22" t="s">
        <v>107</v>
      </c>
      <c r="M33" s="22" t="s">
        <v>108</v>
      </c>
      <c r="P33" s="53">
        <v>45425</v>
      </c>
      <c r="Q33" s="41">
        <v>18939</v>
      </c>
      <c r="R33" s="41">
        <v>3870.01733398437</v>
      </c>
      <c r="S33" s="41">
        <f t="shared" si="0"/>
        <v>1.7708787475448774E-2</v>
      </c>
      <c r="T33" s="41">
        <f t="shared" si="0"/>
        <v>3.1105828389563332E-2</v>
      </c>
    </row>
    <row r="34" spans="1:20" ht="14.4">
      <c r="A34" s="14"/>
      <c r="B34" s="18" t="s">
        <v>109</v>
      </c>
      <c r="C34" s="19">
        <v>10</v>
      </c>
      <c r="D34" s="14" t="s">
        <v>16</v>
      </c>
      <c r="E34" s="14"/>
      <c r="F34" s="18" t="s">
        <v>110</v>
      </c>
      <c r="G34" s="20">
        <v>1600</v>
      </c>
      <c r="H34" s="26"/>
      <c r="I34" s="26"/>
      <c r="J34" s="14" t="s">
        <v>16</v>
      </c>
      <c r="P34" s="53">
        <v>45426</v>
      </c>
      <c r="Q34" s="41">
        <v>18860.849609375</v>
      </c>
      <c r="R34" s="41">
        <v>3854.87963867187</v>
      </c>
      <c r="S34" s="41">
        <f t="shared" si="0"/>
        <v>-4.1264264546702571E-3</v>
      </c>
      <c r="T34" s="41">
        <f t="shared" si="0"/>
        <v>-3.9115316563492009E-3</v>
      </c>
    </row>
    <row r="35" spans="1:20" ht="14.4">
      <c r="A35" s="14"/>
      <c r="B35" s="18" t="s">
        <v>111</v>
      </c>
      <c r="C35" s="19">
        <v>0</v>
      </c>
      <c r="D35" s="14" t="s">
        <v>16</v>
      </c>
      <c r="E35" s="14"/>
      <c r="F35" s="18" t="s">
        <v>33</v>
      </c>
      <c r="G35" s="19">
        <v>0</v>
      </c>
      <c r="H35" s="14"/>
      <c r="I35" s="14"/>
      <c r="J35" s="14" t="s">
        <v>16</v>
      </c>
      <c r="P35" s="53">
        <v>45427</v>
      </c>
      <c r="Q35" s="41">
        <v>18886.55078125</v>
      </c>
      <c r="R35" s="41">
        <v>3851.26831054687</v>
      </c>
      <c r="S35" s="41">
        <f t="shared" si="0"/>
        <v>1.3626730718548829E-3</v>
      </c>
      <c r="T35" s="41">
        <f t="shared" si="0"/>
        <v>-9.368199434222073E-4</v>
      </c>
    </row>
    <row r="36" spans="1:20" ht="14.4">
      <c r="A36" s="14"/>
      <c r="B36" s="18" t="s">
        <v>112</v>
      </c>
      <c r="C36" s="19">
        <v>186</v>
      </c>
      <c r="D36" s="14" t="s">
        <v>16</v>
      </c>
      <c r="E36" s="14"/>
      <c r="F36" s="18" t="s">
        <v>113</v>
      </c>
      <c r="G36" s="20">
        <v>1600</v>
      </c>
      <c r="H36" s="26"/>
      <c r="I36" s="26"/>
      <c r="J36" s="14" t="s">
        <v>16</v>
      </c>
      <c r="P36" s="53">
        <v>45428</v>
      </c>
      <c r="Q36" s="41">
        <v>18996.150390625</v>
      </c>
      <c r="R36" s="41">
        <v>3889.458984375</v>
      </c>
      <c r="S36" s="41">
        <f t="shared" si="0"/>
        <v>5.8030505752171115E-3</v>
      </c>
      <c r="T36" s="41">
        <f t="shared" si="0"/>
        <v>9.9163887708221057E-3</v>
      </c>
    </row>
    <row r="37" spans="1:20" ht="14.4">
      <c r="A37" s="14"/>
      <c r="B37" s="18" t="s">
        <v>114</v>
      </c>
      <c r="C37" s="20">
        <v>5795</v>
      </c>
      <c r="D37" s="14" t="s">
        <v>16</v>
      </c>
      <c r="E37" s="14"/>
      <c r="F37" s="18" t="s">
        <v>115</v>
      </c>
      <c r="G37" s="19" t="s">
        <v>19</v>
      </c>
      <c r="H37" s="14"/>
      <c r="I37" s="14"/>
      <c r="J37" s="14" t="s">
        <v>16</v>
      </c>
      <c r="P37" s="53">
        <v>45429</v>
      </c>
      <c r="Q37" s="41">
        <v>18981.599609375</v>
      </c>
      <c r="R37" s="41">
        <v>3869.275390625</v>
      </c>
      <c r="S37" s="41">
        <f t="shared" si="0"/>
        <v>-7.6598578926713055E-4</v>
      </c>
      <c r="T37" s="41">
        <f t="shared" si="0"/>
        <v>-5.1893062328418711E-3</v>
      </c>
    </row>
    <row r="38" spans="1:20" ht="14.4">
      <c r="A38" s="14"/>
      <c r="B38" s="18" t="s">
        <v>116</v>
      </c>
      <c r="C38" s="19" t="s">
        <v>19</v>
      </c>
      <c r="D38" s="14" t="s">
        <v>16</v>
      </c>
      <c r="E38" s="14"/>
      <c r="F38" s="18" t="s">
        <v>117</v>
      </c>
      <c r="G38" s="19" t="s">
        <v>19</v>
      </c>
      <c r="H38" s="14"/>
      <c r="I38" s="14"/>
      <c r="J38" s="14" t="s">
        <v>16</v>
      </c>
      <c r="P38" s="53">
        <v>45433</v>
      </c>
      <c r="Q38" s="41">
        <v>19205.19921875</v>
      </c>
      <c r="R38" s="41">
        <v>3973.95336914062</v>
      </c>
      <c r="S38" s="41">
        <f t="shared" si="0"/>
        <v>1.17798085502006E-2</v>
      </c>
      <c r="T38" s="41">
        <f t="shared" si="0"/>
        <v>2.7053638717277107E-2</v>
      </c>
    </row>
    <row r="39" spans="1:20" ht="14.4">
      <c r="A39" s="14"/>
      <c r="B39" s="18" t="s">
        <v>118</v>
      </c>
      <c r="C39" s="19">
        <v>0</v>
      </c>
      <c r="D39" s="14" t="s">
        <v>16</v>
      </c>
      <c r="E39" s="14"/>
      <c r="F39" s="18" t="s">
        <v>119</v>
      </c>
      <c r="G39" s="19">
        <v>60</v>
      </c>
      <c r="H39" s="14"/>
      <c r="I39" s="14"/>
      <c r="J39" s="14" t="s">
        <v>16</v>
      </c>
      <c r="P39" s="53">
        <v>45434</v>
      </c>
      <c r="Q39" s="41">
        <v>19317.400390625</v>
      </c>
      <c r="R39" s="41">
        <v>4015.50805664062</v>
      </c>
      <c r="S39" s="41">
        <f t="shared" si="0"/>
        <v>5.842229002522307E-3</v>
      </c>
      <c r="T39" s="41">
        <f t="shared" si="0"/>
        <v>1.0456762734733933E-2</v>
      </c>
    </row>
    <row r="40" spans="1:20" ht="14.4">
      <c r="A40" s="14"/>
      <c r="B40" s="18" t="s">
        <v>120</v>
      </c>
      <c r="C40" s="20">
        <v>3184</v>
      </c>
      <c r="D40" s="14" t="s">
        <v>16</v>
      </c>
      <c r="E40" s="14"/>
      <c r="F40" s="18" t="s">
        <v>121</v>
      </c>
      <c r="G40" s="19">
        <v>60</v>
      </c>
      <c r="H40" s="14"/>
      <c r="I40" s="14"/>
      <c r="J40" s="14" t="s">
        <v>16</v>
      </c>
      <c r="P40" s="53">
        <v>45435</v>
      </c>
      <c r="Q40" s="41">
        <v>19216.349609375</v>
      </c>
      <c r="R40" s="41">
        <v>4069.38037109375</v>
      </c>
      <c r="S40" s="41">
        <f t="shared" si="0"/>
        <v>-5.2310755695182121E-3</v>
      </c>
      <c r="T40" s="41">
        <f t="shared" si="0"/>
        <v>1.3416064341855575E-2</v>
      </c>
    </row>
    <row r="41" spans="1:20" ht="14.4">
      <c r="A41" s="14"/>
      <c r="B41" s="18" t="s">
        <v>122</v>
      </c>
      <c r="C41" s="20">
        <v>2156</v>
      </c>
      <c r="D41" s="14" t="s">
        <v>16</v>
      </c>
      <c r="E41" s="14"/>
      <c r="F41" s="18" t="s">
        <v>123</v>
      </c>
      <c r="G41" s="19" t="s">
        <v>19</v>
      </c>
      <c r="H41" s="14"/>
      <c r="I41" s="14"/>
      <c r="J41" s="14" t="s">
        <v>16</v>
      </c>
      <c r="P41" s="53">
        <v>45436</v>
      </c>
      <c r="Q41" s="41">
        <v>19119.5</v>
      </c>
      <c r="R41" s="41">
        <v>4078.6806640625</v>
      </c>
      <c r="S41" s="41">
        <f t="shared" si="0"/>
        <v>-5.0399587509456214E-3</v>
      </c>
      <c r="T41" s="41">
        <f t="shared" si="0"/>
        <v>2.2854322085036028E-3</v>
      </c>
    </row>
    <row r="42" spans="1:20" ht="14.4">
      <c r="A42" s="14"/>
      <c r="B42" s="18" t="s">
        <v>124</v>
      </c>
      <c r="C42" s="20">
        <v>3980</v>
      </c>
      <c r="D42" s="14" t="s">
        <v>16</v>
      </c>
      <c r="E42" s="14"/>
      <c r="F42" s="18" t="s">
        <v>125</v>
      </c>
      <c r="G42" s="19">
        <v>796</v>
      </c>
      <c r="H42" s="14"/>
      <c r="I42" s="14"/>
      <c r="J42" s="14" t="s">
        <v>16</v>
      </c>
      <c r="P42" s="53">
        <v>45439</v>
      </c>
      <c r="Q42" s="41">
        <v>19111.94921875</v>
      </c>
      <c r="R42" s="41">
        <v>4210.12158203125</v>
      </c>
      <c r="S42" s="41">
        <f t="shared" si="0"/>
        <v>-3.9492566489709459E-4</v>
      </c>
      <c r="T42" s="41">
        <f t="shared" si="0"/>
        <v>3.2226332187975347E-2</v>
      </c>
    </row>
    <row r="43" spans="1:20" ht="14.4">
      <c r="A43" s="14"/>
      <c r="B43" s="18" t="s">
        <v>126</v>
      </c>
      <c r="C43" s="19">
        <v>0</v>
      </c>
      <c r="D43" s="14" t="s">
        <v>16</v>
      </c>
      <c r="E43" s="14"/>
      <c r="F43" s="18" t="s">
        <v>127</v>
      </c>
      <c r="G43" s="19">
        <v>0</v>
      </c>
      <c r="H43" s="14"/>
      <c r="I43" s="14"/>
      <c r="J43" s="14" t="s">
        <v>16</v>
      </c>
      <c r="P43" s="53">
        <v>45440</v>
      </c>
      <c r="Q43" s="41">
        <v>19215.75</v>
      </c>
      <c r="R43" s="41">
        <v>4345.5205078125</v>
      </c>
      <c r="S43" s="41">
        <f t="shared" si="0"/>
        <v>5.4311980458887485E-3</v>
      </c>
      <c r="T43" s="41">
        <f t="shared" si="0"/>
        <v>3.2160336261815109E-2</v>
      </c>
    </row>
    <row r="44" spans="1:20" ht="14.4">
      <c r="A44" s="14"/>
      <c r="B44" s="18" t="s">
        <v>128</v>
      </c>
      <c r="C44" s="19">
        <v>355</v>
      </c>
      <c r="D44" s="14" t="s">
        <v>16</v>
      </c>
      <c r="E44" s="14"/>
      <c r="F44" s="14"/>
      <c r="G44" s="14"/>
      <c r="H44" s="14"/>
      <c r="I44" s="14"/>
      <c r="J44" s="14" t="s">
        <v>16</v>
      </c>
      <c r="P44" s="53">
        <v>45441</v>
      </c>
      <c r="Q44" s="41">
        <v>19321.349609375</v>
      </c>
      <c r="R44" s="41">
        <v>4400.82763671875</v>
      </c>
      <c r="S44" s="41">
        <f t="shared" si="0"/>
        <v>5.4954716508593213E-3</v>
      </c>
      <c r="T44" s="41">
        <f t="shared" si="0"/>
        <v>1.2727388768921301E-2</v>
      </c>
    </row>
    <row r="45" spans="1:20" ht="14.4">
      <c r="A45" s="14"/>
      <c r="B45" s="18" t="s">
        <v>129</v>
      </c>
      <c r="C45" s="20">
        <v>9675</v>
      </c>
      <c r="D45" s="14" t="s">
        <v>16</v>
      </c>
      <c r="E45" s="14"/>
      <c r="F45" s="14"/>
      <c r="G45" s="14"/>
      <c r="H45" s="14"/>
      <c r="I45" s="14"/>
      <c r="J45" s="14" t="s">
        <v>16</v>
      </c>
      <c r="P45" s="53">
        <v>45442</v>
      </c>
      <c r="Q45" s="41">
        <v>18971</v>
      </c>
      <c r="R45" s="41">
        <v>4366.0009765625</v>
      </c>
      <c r="S45" s="41">
        <f t="shared" si="0"/>
        <v>-1.8132771077492706E-2</v>
      </c>
      <c r="T45" s="41">
        <f t="shared" si="0"/>
        <v>-7.9136614816881813E-3</v>
      </c>
    </row>
    <row r="46" spans="1:20" ht="14.4">
      <c r="A46" s="14"/>
      <c r="B46" s="18" t="s">
        <v>130</v>
      </c>
      <c r="C46" s="20">
        <v>15470</v>
      </c>
      <c r="D46" s="14" t="s">
        <v>16</v>
      </c>
      <c r="E46" s="14"/>
      <c r="F46" s="14"/>
      <c r="G46" s="14"/>
      <c r="H46" s="14"/>
      <c r="I46" s="14"/>
      <c r="J46" s="14"/>
      <c r="P46" s="53">
        <v>45443</v>
      </c>
      <c r="Q46" s="41">
        <v>18796.30078125</v>
      </c>
      <c r="R46" s="41">
        <v>4261.52099609375</v>
      </c>
      <c r="S46" s="41">
        <f t="shared" si="0"/>
        <v>-9.2087511860207694E-3</v>
      </c>
      <c r="T46" s="41">
        <f t="shared" si="0"/>
        <v>-2.3930361222917227E-2</v>
      </c>
    </row>
    <row r="47" spans="1:20" ht="14.4">
      <c r="A47" s="14"/>
      <c r="B47" s="18" t="s">
        <v>115</v>
      </c>
      <c r="C47" s="19" t="s">
        <v>19</v>
      </c>
      <c r="D47" s="14" t="s">
        <v>16</v>
      </c>
      <c r="E47" s="14"/>
      <c r="F47" s="14"/>
      <c r="G47" s="14"/>
      <c r="H47" s="14"/>
      <c r="I47" s="14"/>
      <c r="J47" s="14"/>
      <c r="P47" s="53">
        <v>45446</v>
      </c>
      <c r="Q47" s="41">
        <v>18864.150390625</v>
      </c>
      <c r="R47" s="41">
        <v>4276.06494140625</v>
      </c>
      <c r="S47" s="41">
        <f t="shared" si="0"/>
        <v>3.6097320512492796E-3</v>
      </c>
      <c r="T47" s="41">
        <f t="shared" si="0"/>
        <v>3.4128531399543632E-3</v>
      </c>
    </row>
    <row r="48" spans="1:20" ht="14.4">
      <c r="A48" s="14"/>
      <c r="B48" s="18" t="s">
        <v>131</v>
      </c>
      <c r="C48" s="19" t="s">
        <v>19</v>
      </c>
      <c r="D48" s="14" t="s">
        <v>16</v>
      </c>
      <c r="E48" s="14"/>
      <c r="F48" s="14"/>
      <c r="G48" s="14"/>
      <c r="H48" s="14"/>
      <c r="I48" s="14"/>
      <c r="J48" s="14"/>
      <c r="P48" s="53">
        <v>45447</v>
      </c>
      <c r="Q48" s="41">
        <v>18603.150390625</v>
      </c>
      <c r="R48" s="41">
        <v>4278.291015625</v>
      </c>
      <c r="S48" s="41">
        <f t="shared" si="0"/>
        <v>-1.3835767558856524E-2</v>
      </c>
      <c r="T48" s="41">
        <f t="shared" si="0"/>
        <v>5.2058943193176131E-4</v>
      </c>
    </row>
    <row r="49" spans="1:20" ht="14.4">
      <c r="A49" s="14"/>
      <c r="B49" s="18" t="s">
        <v>132</v>
      </c>
      <c r="C49" s="20">
        <v>1432</v>
      </c>
      <c r="D49" s="14" t="s">
        <v>16</v>
      </c>
      <c r="E49" s="14"/>
      <c r="F49" s="14"/>
      <c r="G49" s="14"/>
      <c r="H49" s="14"/>
      <c r="I49" s="14"/>
      <c r="J49" s="14"/>
      <c r="P49" s="53">
        <v>45448</v>
      </c>
      <c r="Q49" s="41">
        <v>19281.25</v>
      </c>
      <c r="R49" s="41">
        <v>4454.94775390625</v>
      </c>
      <c r="S49" s="41">
        <f t="shared" si="0"/>
        <v>3.6450794362052043E-2</v>
      </c>
      <c r="T49" s="41">
        <f t="shared" si="0"/>
        <v>4.1291426327959332E-2</v>
      </c>
    </row>
    <row r="50" spans="1:20" ht="14.4">
      <c r="A50" s="14"/>
      <c r="B50" s="18" t="s">
        <v>133</v>
      </c>
      <c r="C50" s="19" t="s">
        <v>19</v>
      </c>
      <c r="D50" s="14" t="s">
        <v>16</v>
      </c>
      <c r="E50" s="14"/>
      <c r="F50" s="14"/>
      <c r="G50" s="14"/>
      <c r="H50" s="14"/>
      <c r="I50" s="14"/>
      <c r="J50" s="14"/>
      <c r="P50" s="53">
        <v>45449</v>
      </c>
      <c r="Q50" s="41">
        <v>19232.099609375</v>
      </c>
      <c r="R50" s="41">
        <v>4401.7177734375</v>
      </c>
      <c r="S50" s="41">
        <f t="shared" si="0"/>
        <v>-2.5491288492706645E-3</v>
      </c>
      <c r="T50" s="41">
        <f t="shared" si="0"/>
        <v>-1.194850835726999E-2</v>
      </c>
    </row>
    <row r="51" spans="1:20" ht="14.4">
      <c r="A51" s="14"/>
      <c r="B51" s="18" t="s">
        <v>134</v>
      </c>
      <c r="C51" s="19">
        <v>39.67</v>
      </c>
      <c r="D51" s="14" t="s">
        <v>16</v>
      </c>
      <c r="E51" s="14"/>
      <c r="F51" s="14"/>
      <c r="G51" s="14"/>
      <c r="H51" s="14"/>
      <c r="I51" s="14"/>
      <c r="J51" s="14"/>
      <c r="P51" s="53">
        <v>45450</v>
      </c>
      <c r="Q51" s="41">
        <v>19578</v>
      </c>
      <c r="R51" s="41">
        <v>4476.07080078125</v>
      </c>
      <c r="S51" s="41">
        <f t="shared" si="0"/>
        <v>1.7985576075967558E-2</v>
      </c>
      <c r="T51" s="41">
        <f t="shared" si="0"/>
        <v>1.6891820687014281E-2</v>
      </c>
    </row>
    <row r="52" spans="1:20" ht="14.4">
      <c r="A52" s="14"/>
      <c r="B52" s="18" t="s">
        <v>135</v>
      </c>
      <c r="C52" s="19" t="s">
        <v>19</v>
      </c>
      <c r="D52" s="14" t="s">
        <v>16</v>
      </c>
      <c r="E52" s="14"/>
      <c r="F52" s="14"/>
      <c r="G52" s="14"/>
      <c r="H52" s="14"/>
      <c r="I52" s="14"/>
      <c r="J52" s="14"/>
      <c r="P52" s="53">
        <v>45453</v>
      </c>
      <c r="Q52" s="41">
        <v>19774.69921875</v>
      </c>
      <c r="R52" s="41">
        <v>4488.14208984375</v>
      </c>
      <c r="S52" s="41">
        <f t="shared" si="0"/>
        <v>1.0046951616610482E-2</v>
      </c>
      <c r="T52" s="41">
        <f t="shared" si="0"/>
        <v>2.6968494467051519E-3</v>
      </c>
    </row>
    <row r="53" spans="1:20" ht="14.4">
      <c r="A53" s="14"/>
      <c r="B53" s="18" t="s">
        <v>136</v>
      </c>
      <c r="C53" s="19">
        <v>0</v>
      </c>
      <c r="D53" s="14" t="s">
        <v>16</v>
      </c>
      <c r="E53" s="14"/>
      <c r="F53" s="14"/>
      <c r="G53" s="14"/>
      <c r="H53" s="14"/>
      <c r="I53" s="14"/>
      <c r="J53" s="14"/>
      <c r="P53" s="53">
        <v>45454</v>
      </c>
      <c r="Q53" s="41">
        <v>19689.69921875</v>
      </c>
      <c r="R53" s="41">
        <v>4427.986328125</v>
      </c>
      <c r="S53" s="41">
        <f t="shared" si="0"/>
        <v>-4.2984218905036285E-3</v>
      </c>
      <c r="T53" s="41">
        <f t="shared" si="0"/>
        <v>-1.3403265875845803E-2</v>
      </c>
    </row>
    <row r="54" spans="1:20" ht="14.4">
      <c r="A54" s="14"/>
      <c r="B54" s="18" t="s">
        <v>137</v>
      </c>
      <c r="C54" s="19">
        <v>82</v>
      </c>
      <c r="D54" s="14" t="s">
        <v>16</v>
      </c>
      <c r="E54" s="14"/>
      <c r="F54" s="14"/>
      <c r="G54" s="14"/>
      <c r="H54" s="14"/>
      <c r="I54" s="14"/>
      <c r="J54" s="14"/>
      <c r="P54" s="53">
        <v>45455</v>
      </c>
      <c r="Q54" s="41">
        <v>19739.099609375</v>
      </c>
      <c r="R54" s="41">
        <v>4405.1318359375</v>
      </c>
      <c r="S54" s="41">
        <f t="shared" si="0"/>
        <v>2.5089459252865204E-3</v>
      </c>
      <c r="T54" s="41">
        <f t="shared" si="0"/>
        <v>-5.1613737021581037E-3</v>
      </c>
    </row>
    <row r="55" spans="1:20" ht="14.4">
      <c r="A55" s="14"/>
      <c r="B55" s="18" t="s">
        <v>138</v>
      </c>
      <c r="C55" s="19" t="s">
        <v>19</v>
      </c>
      <c r="D55" s="14" t="s">
        <v>16</v>
      </c>
      <c r="E55" s="14"/>
      <c r="F55" s="14"/>
      <c r="G55" s="14"/>
      <c r="H55" s="14"/>
      <c r="I55" s="14"/>
      <c r="J55" s="14"/>
      <c r="P55" s="53">
        <v>45456</v>
      </c>
      <c r="Q55" s="41">
        <v>19838.5</v>
      </c>
      <c r="R55" s="41">
        <v>4544.78466796875</v>
      </c>
      <c r="S55" s="41">
        <f t="shared" si="0"/>
        <v>5.0357104727203573E-3</v>
      </c>
      <c r="T55" s="41">
        <f t="shared" si="0"/>
        <v>3.1702304773706981E-2</v>
      </c>
    </row>
    <row r="56" spans="1:20" ht="14.4">
      <c r="A56" s="14"/>
      <c r="B56" s="18" t="s">
        <v>139</v>
      </c>
      <c r="C56" s="19">
        <v>0</v>
      </c>
      <c r="D56" s="14" t="s">
        <v>16</v>
      </c>
      <c r="E56" s="14"/>
      <c r="F56" s="14"/>
      <c r="G56" s="14"/>
      <c r="H56" s="14"/>
      <c r="I56" s="14"/>
      <c r="J56" s="14"/>
      <c r="P56" s="53">
        <v>45457</v>
      </c>
      <c r="Q56" s="41">
        <v>19895.650390625</v>
      </c>
      <c r="R56" s="41">
        <v>4539.9365234375</v>
      </c>
      <c r="S56" s="41">
        <f t="shared" si="0"/>
        <v>2.8807818446455126E-3</v>
      </c>
      <c r="T56" s="41">
        <f t="shared" si="0"/>
        <v>-1.0667490069264016E-3</v>
      </c>
    </row>
    <row r="57" spans="1:20" ht="14.4">
      <c r="A57" s="14"/>
      <c r="B57" s="18" t="s">
        <v>140</v>
      </c>
      <c r="C57" s="19">
        <v>0</v>
      </c>
      <c r="D57" s="14"/>
      <c r="E57" s="14"/>
      <c r="F57" s="14"/>
      <c r="G57" s="14"/>
      <c r="H57" s="14"/>
      <c r="I57" s="14"/>
      <c r="J57" s="14"/>
      <c r="P57" s="53">
        <v>45461</v>
      </c>
      <c r="Q57" s="41">
        <v>19826.650390625</v>
      </c>
      <c r="R57" s="41">
        <v>4516.09228515625</v>
      </c>
      <c r="S57" s="41">
        <f t="shared" si="0"/>
        <v>-3.4680947164468364E-3</v>
      </c>
      <c r="T57" s="41">
        <f t="shared" si="0"/>
        <v>-5.2521082967027649E-3</v>
      </c>
    </row>
    <row r="58" spans="1:20" ht="14.4">
      <c r="J58" s="14"/>
      <c r="P58" s="53">
        <v>45462</v>
      </c>
      <c r="Q58" s="41">
        <v>19644.5</v>
      </c>
      <c r="R58" s="41">
        <v>4432.19140625</v>
      </c>
      <c r="S58" s="41">
        <f t="shared" si="0"/>
        <v>-9.1871489654717226E-3</v>
      </c>
      <c r="T58" s="41">
        <f t="shared" si="0"/>
        <v>-1.8578202926016415E-2</v>
      </c>
    </row>
    <row r="59" spans="1:20" ht="14.4">
      <c r="J59" s="14"/>
      <c r="P59" s="53">
        <v>45463</v>
      </c>
      <c r="Q59" s="41">
        <v>19544.55078125</v>
      </c>
      <c r="R59" s="41">
        <v>4456.283203125</v>
      </c>
      <c r="S59" s="41">
        <f t="shared" si="0"/>
        <v>-5.0878983303214642E-3</v>
      </c>
      <c r="T59" s="41">
        <f t="shared" si="0"/>
        <v>5.4356399953817995E-3</v>
      </c>
    </row>
    <row r="60" spans="1:20" ht="15" customHeight="1">
      <c r="P60" s="53">
        <v>45464</v>
      </c>
      <c r="Q60" s="41">
        <v>19528.400390625</v>
      </c>
      <c r="R60" s="41">
        <v>4474.19140625</v>
      </c>
      <c r="S60" s="41">
        <f t="shared" si="0"/>
        <v>-8.2633726432299601E-4</v>
      </c>
      <c r="T60" s="41">
        <f t="shared" si="0"/>
        <v>4.0186411654541494E-3</v>
      </c>
    </row>
    <row r="61" spans="1:20" ht="15" customHeight="1">
      <c r="P61" s="53">
        <v>45467</v>
      </c>
      <c r="Q61" s="41">
        <v>19521.150390625</v>
      </c>
      <c r="R61" s="41">
        <v>4471.619140625</v>
      </c>
      <c r="S61" s="41">
        <f t="shared" si="0"/>
        <v>-3.7125416598281691E-4</v>
      </c>
      <c r="T61" s="41">
        <f t="shared" si="0"/>
        <v>-5.7491184248550497E-4</v>
      </c>
    </row>
    <row r="62" spans="1:20" ht="15" customHeight="1">
      <c r="P62" s="53">
        <v>45468</v>
      </c>
      <c r="Q62" s="41">
        <v>19532.30078125</v>
      </c>
      <c r="R62" s="41">
        <v>4491.1591796875</v>
      </c>
      <c r="S62" s="41">
        <f t="shared" si="0"/>
        <v>5.7119536512330522E-4</v>
      </c>
      <c r="T62" s="41">
        <f t="shared" si="0"/>
        <v>4.369790549686412E-3</v>
      </c>
    </row>
    <row r="63" spans="1:20" ht="15" customHeight="1">
      <c r="P63" s="53">
        <v>45469</v>
      </c>
      <c r="Q63" s="41">
        <v>19545.349609375</v>
      </c>
      <c r="R63" s="41">
        <v>4497.1455078125</v>
      </c>
      <c r="S63" s="41">
        <f t="shared" si="0"/>
        <v>6.6806405815367134E-4</v>
      </c>
      <c r="T63" s="41">
        <f t="shared" si="0"/>
        <v>1.3329138170107202E-3</v>
      </c>
    </row>
    <row r="64" spans="1:20" ht="15" customHeight="1">
      <c r="P64" s="53">
        <v>45470</v>
      </c>
      <c r="Q64" s="41">
        <v>19514.80078125</v>
      </c>
      <c r="R64" s="41">
        <v>4474.3896484375</v>
      </c>
      <c r="S64" s="41">
        <f t="shared" si="0"/>
        <v>-1.5629716907364574E-3</v>
      </c>
      <c r="T64" s="41">
        <f t="shared" si="0"/>
        <v>-5.0600673995244818E-3</v>
      </c>
    </row>
    <row r="65" spans="16:20" ht="15" customHeight="1">
      <c r="P65" s="53">
        <v>45471</v>
      </c>
      <c r="Q65" s="41">
        <v>19731.55078125</v>
      </c>
      <c r="R65" s="41">
        <v>4547.70361328125</v>
      </c>
      <c r="S65" s="41">
        <f t="shared" si="0"/>
        <v>1.1106954276891998E-2</v>
      </c>
      <c r="T65" s="41">
        <f t="shared" si="0"/>
        <v>1.6385243710134174E-2</v>
      </c>
    </row>
    <row r="66" spans="16:20" ht="15" customHeight="1">
      <c r="P66" s="53">
        <v>45474</v>
      </c>
      <c r="Q66" s="41">
        <v>19758.25</v>
      </c>
      <c r="R66" s="41">
        <v>4553.29345703125</v>
      </c>
      <c r="S66" s="41">
        <f t="shared" si="0"/>
        <v>1.353123180534348E-3</v>
      </c>
      <c r="T66" s="41">
        <f t="shared" si="0"/>
        <v>1.2291574441384554E-3</v>
      </c>
    </row>
    <row r="67" spans="16:20" ht="15" customHeight="1">
      <c r="P67" s="53">
        <v>45475</v>
      </c>
      <c r="Q67" s="41">
        <v>19786.400390625</v>
      </c>
      <c r="R67" s="41">
        <v>4522.96875</v>
      </c>
      <c r="S67" s="41">
        <f t="shared" si="0"/>
        <v>1.4247410891652854E-3</v>
      </c>
      <c r="T67" s="41">
        <f t="shared" si="0"/>
        <v>-6.6599500597577842E-3</v>
      </c>
    </row>
    <row r="68" spans="16:20" ht="15" customHeight="1">
      <c r="P68" s="53">
        <v>45476</v>
      </c>
      <c r="Q68" s="41">
        <v>19915.30078125</v>
      </c>
      <c r="R68" s="41">
        <v>4510.798828125</v>
      </c>
      <c r="S68" s="41">
        <f t="shared" si="0"/>
        <v>6.514595281619507E-3</v>
      </c>
      <c r="T68" s="41">
        <f t="shared" si="0"/>
        <v>-2.6906933360970049E-3</v>
      </c>
    </row>
    <row r="69" spans="16:20" ht="15" customHeight="1">
      <c r="P69" s="53">
        <v>45477</v>
      </c>
      <c r="Q69" s="41">
        <v>20192.599609375</v>
      </c>
      <c r="R69" s="41">
        <v>4495.85888671875</v>
      </c>
      <c r="S69" s="41">
        <f t="shared" si="0"/>
        <v>1.3923908615333255E-2</v>
      </c>
      <c r="T69" s="41">
        <f t="shared" si="0"/>
        <v>-3.3120389482011268E-3</v>
      </c>
    </row>
    <row r="70" spans="16:20" ht="15" customHeight="1">
      <c r="P70" s="53">
        <v>45478</v>
      </c>
      <c r="Q70" s="41">
        <v>20453.849609375</v>
      </c>
      <c r="R70" s="41">
        <v>4580.6005859375</v>
      </c>
      <c r="S70" s="41">
        <f t="shared" si="0"/>
        <v>1.2937908196758732E-2</v>
      </c>
      <c r="T70" s="41">
        <f t="shared" si="0"/>
        <v>1.8848834305962334E-2</v>
      </c>
    </row>
    <row r="71" spans="16:20" ht="15" customHeight="1">
      <c r="P71" s="53">
        <v>45481</v>
      </c>
      <c r="Q71" s="41">
        <v>20325.80078125</v>
      </c>
      <c r="R71" s="41">
        <v>4416.85595703125</v>
      </c>
      <c r="S71" s="41">
        <f t="shared" si="0"/>
        <v>-6.2603779029600844E-3</v>
      </c>
      <c r="T71" s="41">
        <f t="shared" si="0"/>
        <v>-3.5747414740535992E-2</v>
      </c>
    </row>
    <row r="72" spans="16:20" ht="15" customHeight="1">
      <c r="P72" s="53">
        <v>45482</v>
      </c>
      <c r="Q72" s="41">
        <v>20645.80078125</v>
      </c>
      <c r="R72" s="41">
        <v>4503.67578125</v>
      </c>
      <c r="S72" s="41">
        <f t="shared" ref="S72:T135" si="3">(Q72-Q71)/Q71</f>
        <v>1.5743537164606636E-2</v>
      </c>
      <c r="T72" s="41">
        <f t="shared" si="3"/>
        <v>1.965647624993077E-2</v>
      </c>
    </row>
    <row r="73" spans="16:20" ht="15" customHeight="1">
      <c r="P73" s="53">
        <v>45483</v>
      </c>
      <c r="Q73" s="41">
        <v>20725.94921875</v>
      </c>
      <c r="R73" s="41">
        <v>4587.77392578125</v>
      </c>
      <c r="S73" s="41">
        <f t="shared" si="3"/>
        <v>3.8820696929706311E-3</v>
      </c>
      <c r="T73" s="41">
        <f t="shared" si="3"/>
        <v>1.8673223521411764E-2</v>
      </c>
    </row>
    <row r="74" spans="16:20" ht="15" customHeight="1">
      <c r="P74" s="53">
        <v>45484</v>
      </c>
      <c r="Q74" s="41">
        <v>20601.69921875</v>
      </c>
      <c r="R74" s="41">
        <v>4533.9013671875</v>
      </c>
      <c r="S74" s="41">
        <f t="shared" si="3"/>
        <v>-5.9949003391167061E-3</v>
      </c>
      <c r="T74" s="41">
        <f t="shared" si="3"/>
        <v>-1.1742635854615715E-2</v>
      </c>
    </row>
    <row r="75" spans="16:20" ht="15" customHeight="1">
      <c r="P75" s="53">
        <v>45485</v>
      </c>
      <c r="Q75" s="41">
        <v>20612.650390625</v>
      </c>
      <c r="R75" s="41">
        <v>4491.1591796875</v>
      </c>
      <c r="S75" s="41">
        <f t="shared" si="3"/>
        <v>5.3156643822045171E-4</v>
      </c>
      <c r="T75" s="41">
        <f t="shared" si="3"/>
        <v>-9.4272424648077693E-3</v>
      </c>
    </row>
    <row r="76" spans="16:20" ht="15" customHeight="1">
      <c r="P76" s="53">
        <v>45488</v>
      </c>
      <c r="Q76" s="41">
        <v>20844.55078125</v>
      </c>
      <c r="R76" s="41">
        <v>4526.87646484375</v>
      </c>
      <c r="S76" s="41">
        <f t="shared" si="3"/>
        <v>1.125039168812917E-2</v>
      </c>
      <c r="T76" s="41">
        <f t="shared" si="3"/>
        <v>7.9527987602379408E-3</v>
      </c>
    </row>
    <row r="77" spans="16:20" ht="15" customHeight="1">
      <c r="P77" s="53">
        <v>45489</v>
      </c>
      <c r="Q77" s="41">
        <v>20765.44921875</v>
      </c>
      <c r="R77" s="41">
        <v>4522.3251953125</v>
      </c>
      <c r="S77" s="41">
        <f t="shared" si="3"/>
        <v>-3.7948317202956034E-3</v>
      </c>
      <c r="T77" s="41">
        <f t="shared" si="3"/>
        <v>-1.0053884983598934E-3</v>
      </c>
    </row>
    <row r="78" spans="16:20" ht="15" customHeight="1">
      <c r="P78" s="53">
        <v>45491</v>
      </c>
      <c r="Q78" s="41">
        <v>20768.349609375</v>
      </c>
      <c r="R78" s="41">
        <v>4536.1767578125</v>
      </c>
      <c r="S78" s="41">
        <f t="shared" si="3"/>
        <v>1.3967386857112221E-4</v>
      </c>
      <c r="T78" s="41">
        <f t="shared" si="3"/>
        <v>3.062929334307378E-3</v>
      </c>
    </row>
    <row r="79" spans="16:20" ht="15" customHeight="1">
      <c r="P79" s="53">
        <v>45492</v>
      </c>
      <c r="Q79" s="41">
        <v>20425.400390625</v>
      </c>
      <c r="R79" s="41">
        <v>4471.86572265625</v>
      </c>
      <c r="S79" s="41">
        <f t="shared" si="3"/>
        <v>-1.6513070378745453E-2</v>
      </c>
      <c r="T79" s="41">
        <f t="shared" si="3"/>
        <v>-1.4177365343069874E-2</v>
      </c>
    </row>
    <row r="80" spans="16:20" ht="15" customHeight="1">
      <c r="P80" s="53">
        <v>45495</v>
      </c>
      <c r="Q80" s="41">
        <v>20641.55078125</v>
      </c>
      <c r="R80" s="41">
        <v>4486.70703125</v>
      </c>
      <c r="S80" s="41">
        <f t="shared" si="3"/>
        <v>1.0582431016833838E-2</v>
      </c>
      <c r="T80" s="41">
        <f t="shared" si="3"/>
        <v>3.3188180312655698E-3</v>
      </c>
    </row>
    <row r="81" spans="16:20" ht="15" customHeight="1">
      <c r="P81" s="53">
        <v>45496</v>
      </c>
      <c r="Q81" s="41">
        <v>20755.349609375</v>
      </c>
      <c r="R81" s="41">
        <v>4478.98974609375</v>
      </c>
      <c r="S81" s="41">
        <f t="shared" si="3"/>
        <v>5.5130948895744077E-3</v>
      </c>
      <c r="T81" s="41">
        <f t="shared" si="3"/>
        <v>-1.7200332231409275E-3</v>
      </c>
    </row>
    <row r="82" spans="16:20" ht="15" customHeight="1">
      <c r="P82" s="53">
        <v>45497</v>
      </c>
      <c r="Q82" s="41">
        <v>20908.5</v>
      </c>
      <c r="R82" s="41">
        <v>4503.3291015625</v>
      </c>
      <c r="S82" s="41">
        <f t="shared" si="3"/>
        <v>7.3788393598450096E-3</v>
      </c>
      <c r="T82" s="41">
        <f t="shared" si="3"/>
        <v>5.4341172560122561E-3</v>
      </c>
    </row>
    <row r="83" spans="16:20" ht="15" customHeight="1">
      <c r="P83" s="53">
        <v>45498</v>
      </c>
      <c r="Q83" s="41">
        <v>21105.5</v>
      </c>
      <c r="R83" s="41">
        <v>4498.77783203125</v>
      </c>
      <c r="S83" s="41">
        <f t="shared" si="3"/>
        <v>9.4220054045005622E-3</v>
      </c>
      <c r="T83" s="41">
        <f t="shared" si="3"/>
        <v>-1.0106455532354645E-3</v>
      </c>
    </row>
    <row r="84" spans="16:20" ht="15" customHeight="1">
      <c r="P84" s="53">
        <v>45499</v>
      </c>
      <c r="Q84" s="41">
        <v>21603.099609375</v>
      </c>
      <c r="R84" s="41">
        <v>4739.79443359375</v>
      </c>
      <c r="S84" s="41">
        <f t="shared" si="3"/>
        <v>2.3576774270924642E-2</v>
      </c>
      <c r="T84" s="41">
        <f t="shared" si="3"/>
        <v>5.3573795053061826E-2</v>
      </c>
    </row>
    <row r="85" spans="16:20" ht="15" customHeight="1">
      <c r="P85" s="53">
        <v>45502</v>
      </c>
      <c r="Q85" s="41">
        <v>21674.94921875</v>
      </c>
      <c r="R85" s="41">
        <v>4871.63134765625</v>
      </c>
      <c r="S85" s="41">
        <f t="shared" si="3"/>
        <v>3.3258935372320253E-3</v>
      </c>
      <c r="T85" s="41">
        <f t="shared" si="3"/>
        <v>2.7814901238773809E-2</v>
      </c>
    </row>
    <row r="86" spans="16:20" ht="15" customHeight="1">
      <c r="P86" s="53">
        <v>45503</v>
      </c>
      <c r="Q86" s="41">
        <v>21540.80078125</v>
      </c>
      <c r="R86" s="41">
        <v>4860.2529296875</v>
      </c>
      <c r="S86" s="41">
        <f t="shared" si="3"/>
        <v>-6.1891004286162002E-3</v>
      </c>
      <c r="T86" s="41">
        <f t="shared" si="3"/>
        <v>-2.3356484012740774E-3</v>
      </c>
    </row>
    <row r="87" spans="16:20" ht="15" customHeight="1">
      <c r="P87" s="53">
        <v>45504</v>
      </c>
      <c r="Q87" s="41">
        <v>21777.150390625</v>
      </c>
      <c r="R87" s="41">
        <v>4870.98828125</v>
      </c>
      <c r="S87" s="41">
        <f t="shared" si="3"/>
        <v>1.0972183057406503E-2</v>
      </c>
      <c r="T87" s="41">
        <f t="shared" si="3"/>
        <v>2.2088051214219939E-3</v>
      </c>
    </row>
    <row r="88" spans="16:20" ht="15" customHeight="1">
      <c r="P88" s="53">
        <v>45505</v>
      </c>
      <c r="Q88" s="41">
        <v>21790.349609375</v>
      </c>
      <c r="R88" s="41">
        <v>4865.744140625</v>
      </c>
      <c r="S88" s="41">
        <f t="shared" si="3"/>
        <v>6.061040362600529E-4</v>
      </c>
      <c r="T88" s="41">
        <f t="shared" si="3"/>
        <v>-1.0766071117818911E-3</v>
      </c>
    </row>
    <row r="89" spans="16:20" ht="15" customHeight="1">
      <c r="P89" s="53">
        <v>45506</v>
      </c>
      <c r="Q89" s="41">
        <v>21902.849609375</v>
      </c>
      <c r="R89" s="41">
        <v>4968.6259765625</v>
      </c>
      <c r="S89" s="41">
        <f t="shared" si="3"/>
        <v>5.1628359350231997E-3</v>
      </c>
      <c r="T89" s="41">
        <f t="shared" si="3"/>
        <v>2.1144111355654829E-2</v>
      </c>
    </row>
    <row r="90" spans="16:20" ht="15" customHeight="1">
      <c r="P90" s="53">
        <v>45509</v>
      </c>
      <c r="Q90" s="41">
        <v>21583.05078125</v>
      </c>
      <c r="R90" s="41">
        <v>4805.07080078125</v>
      </c>
      <c r="S90" s="41">
        <f t="shared" si="3"/>
        <v>-1.4600786373847796E-2</v>
      </c>
      <c r="T90" s="41">
        <f t="shared" si="3"/>
        <v>-3.2917586582841198E-2</v>
      </c>
    </row>
    <row r="91" spans="16:20" ht="15" customHeight="1">
      <c r="P91" s="53">
        <v>45510</v>
      </c>
      <c r="Q91" s="41">
        <v>21562.55078125</v>
      </c>
      <c r="R91" s="41">
        <v>4805.66748046875</v>
      </c>
      <c r="S91" s="41">
        <f t="shared" si="3"/>
        <v>-9.4981938409787337E-4</v>
      </c>
      <c r="T91" s="41">
        <f t="shared" si="3"/>
        <v>1.2417708546625091E-4</v>
      </c>
    </row>
    <row r="92" spans="16:20" ht="15" customHeight="1">
      <c r="P92" s="53">
        <v>45511</v>
      </c>
      <c r="Q92" s="41">
        <v>22036.94921875</v>
      </c>
      <c r="R92" s="41">
        <v>4924.07861328125</v>
      </c>
      <c r="S92" s="41">
        <f t="shared" si="3"/>
        <v>2.2001035142489699E-2</v>
      </c>
      <c r="T92" s="41">
        <f t="shared" si="3"/>
        <v>2.4639893062461751E-2</v>
      </c>
    </row>
    <row r="93" spans="16:20" ht="15" customHeight="1">
      <c r="P93" s="53">
        <v>45512</v>
      </c>
      <c r="Q93" s="41">
        <v>22114.25</v>
      </c>
      <c r="R93" s="41">
        <v>4812.58642578125</v>
      </c>
      <c r="S93" s="41">
        <f t="shared" si="3"/>
        <v>3.5077805227335694E-3</v>
      </c>
      <c r="T93" s="41">
        <f t="shared" si="3"/>
        <v>-2.2642243606607479E-2</v>
      </c>
    </row>
    <row r="94" spans="16:20" ht="15" customHeight="1">
      <c r="P94" s="53">
        <v>45513</v>
      </c>
      <c r="Q94" s="41">
        <v>22209.55078125</v>
      </c>
      <c r="R94" s="41">
        <v>4808.05712890625</v>
      </c>
      <c r="S94" s="41">
        <f t="shared" si="3"/>
        <v>4.3094738121347096E-3</v>
      </c>
      <c r="T94" s="41">
        <f t="shared" si="3"/>
        <v>-9.4113569591942187E-4</v>
      </c>
    </row>
    <row r="95" spans="16:20" ht="15" customHeight="1">
      <c r="P95" s="53">
        <v>45516</v>
      </c>
      <c r="Q95" s="41">
        <v>22205.599609375</v>
      </c>
      <c r="R95" s="41">
        <v>4868.830078125</v>
      </c>
      <c r="S95" s="41">
        <f t="shared" si="3"/>
        <v>-1.7790417797804823E-4</v>
      </c>
      <c r="T95" s="41">
        <f t="shared" si="3"/>
        <v>1.2639814292841981E-2</v>
      </c>
    </row>
    <row r="96" spans="16:20" ht="15" customHeight="1">
      <c r="P96" s="53">
        <v>45517</v>
      </c>
      <c r="Q96" s="41">
        <v>22191.599609375</v>
      </c>
      <c r="R96" s="41">
        <v>4839.7626953125</v>
      </c>
      <c r="S96" s="41">
        <f t="shared" si="3"/>
        <v>-6.304716038421826E-4</v>
      </c>
      <c r="T96" s="41">
        <f t="shared" si="3"/>
        <v>-5.9700959668105586E-3</v>
      </c>
    </row>
    <row r="97" spans="16:20" ht="15" customHeight="1">
      <c r="P97" s="53">
        <v>45518</v>
      </c>
      <c r="Q97" s="41">
        <v>22012.69921875</v>
      </c>
      <c r="R97" s="41">
        <v>4640.8681640625</v>
      </c>
      <c r="S97" s="41">
        <f t="shared" si="3"/>
        <v>-8.061626641345054E-3</v>
      </c>
      <c r="T97" s="41">
        <f t="shared" si="3"/>
        <v>-4.1095926344206328E-2</v>
      </c>
    </row>
    <row r="98" spans="16:20" ht="15" customHeight="1">
      <c r="P98" s="53">
        <v>45520</v>
      </c>
      <c r="Q98" s="41">
        <v>22106.5</v>
      </c>
      <c r="R98" s="41">
        <v>4612.8955078125</v>
      </c>
      <c r="S98" s="41">
        <f t="shared" si="3"/>
        <v>4.2612121447651577E-3</v>
      </c>
      <c r="T98" s="41">
        <f t="shared" si="3"/>
        <v>-6.0274619448602122E-3</v>
      </c>
    </row>
    <row r="99" spans="16:20" ht="15" customHeight="1">
      <c r="P99" s="53">
        <v>45523</v>
      </c>
      <c r="Q99" s="41">
        <v>22237.849609375</v>
      </c>
      <c r="R99" s="41">
        <v>4648.732421875</v>
      </c>
      <c r="S99" s="41">
        <f t="shared" si="3"/>
        <v>5.9416736876031937E-3</v>
      </c>
      <c r="T99" s="41">
        <f t="shared" si="3"/>
        <v>7.7688545083680789E-3</v>
      </c>
    </row>
    <row r="100" spans="16:20" ht="15" customHeight="1">
      <c r="P100" s="53">
        <v>45524</v>
      </c>
      <c r="Q100" s="41">
        <v>22374.25</v>
      </c>
      <c r="R100" s="41">
        <v>4701.7412109375</v>
      </c>
      <c r="S100" s="41">
        <f t="shared" si="3"/>
        <v>6.1337041584945571E-3</v>
      </c>
      <c r="T100" s="41">
        <f t="shared" si="3"/>
        <v>1.1402847970569934E-2</v>
      </c>
    </row>
    <row r="101" spans="16:20" ht="15" customHeight="1">
      <c r="P101" s="53">
        <v>45525</v>
      </c>
      <c r="Q101" s="41">
        <v>22577.900390625</v>
      </c>
      <c r="R101" s="41">
        <v>4878.58544921875</v>
      </c>
      <c r="S101" s="41">
        <f t="shared" si="3"/>
        <v>9.1019985306770058E-3</v>
      </c>
      <c r="T101" s="41">
        <f t="shared" si="3"/>
        <v>3.7612499358719124E-2</v>
      </c>
    </row>
    <row r="102" spans="16:20" ht="15" customHeight="1">
      <c r="P102" s="53">
        <v>45526</v>
      </c>
      <c r="Q102" s="41">
        <v>22546.099609375</v>
      </c>
      <c r="R102" s="41">
        <v>4889.18798828125</v>
      </c>
      <c r="S102" s="41">
        <f t="shared" si="3"/>
        <v>-1.4084915204606275E-3</v>
      </c>
      <c r="T102" s="41">
        <f t="shared" si="3"/>
        <v>2.1732814097163915E-3</v>
      </c>
    </row>
    <row r="103" spans="16:20" ht="15" customHeight="1">
      <c r="P103" s="53">
        <v>45527</v>
      </c>
      <c r="Q103" s="41">
        <v>22527.849609375</v>
      </c>
      <c r="R103" s="41">
        <v>4833.939453125</v>
      </c>
      <c r="S103" s="41">
        <f t="shared" si="3"/>
        <v>-8.0945264663034584E-4</v>
      </c>
      <c r="T103" s="41">
        <f t="shared" si="3"/>
        <v>-1.1300145400151023E-2</v>
      </c>
    </row>
    <row r="104" spans="16:20" ht="15" customHeight="1">
      <c r="P104" s="53">
        <v>45530</v>
      </c>
      <c r="Q104" s="41">
        <v>22554.94921875</v>
      </c>
      <c r="R104" s="41">
        <v>4903.92041015625</v>
      </c>
      <c r="S104" s="41">
        <f t="shared" si="3"/>
        <v>1.2029381341272119E-3</v>
      </c>
      <c r="T104" s="41">
        <f t="shared" si="3"/>
        <v>1.4477003220635989E-2</v>
      </c>
    </row>
    <row r="105" spans="16:20" ht="15" customHeight="1">
      <c r="P105" s="53">
        <v>45531</v>
      </c>
      <c r="Q105" s="41">
        <v>22729</v>
      </c>
      <c r="R105" s="41">
        <v>4880.2783203125</v>
      </c>
      <c r="S105" s="41">
        <f t="shared" si="3"/>
        <v>7.7167445407197392E-3</v>
      </c>
      <c r="T105" s="41">
        <f t="shared" si="3"/>
        <v>-4.8210590438593007E-3</v>
      </c>
    </row>
    <row r="106" spans="16:20" ht="15" customHeight="1">
      <c r="P106" s="53">
        <v>45532</v>
      </c>
      <c r="Q106" s="41">
        <v>22989.099609375</v>
      </c>
      <c r="R106" s="41">
        <v>5007.8974609375</v>
      </c>
      <c r="S106" s="41">
        <f t="shared" si="3"/>
        <v>1.1443513105503981E-2</v>
      </c>
      <c r="T106" s="41">
        <f t="shared" si="3"/>
        <v>2.6149971835382563E-2</v>
      </c>
    </row>
    <row r="107" spans="16:20" ht="15" customHeight="1">
      <c r="P107" s="53">
        <v>45533</v>
      </c>
      <c r="Q107" s="41">
        <v>22878.05078125</v>
      </c>
      <c r="R107" s="41">
        <v>4989.8291015625</v>
      </c>
      <c r="S107" s="41">
        <f t="shared" si="3"/>
        <v>-4.8304992371129693E-3</v>
      </c>
      <c r="T107" s="41">
        <f t="shared" si="3"/>
        <v>-3.607973109660581E-3</v>
      </c>
    </row>
    <row r="108" spans="16:20" ht="15" customHeight="1">
      <c r="P108" s="53">
        <v>45534</v>
      </c>
      <c r="Q108" s="41">
        <v>23217.599609375</v>
      </c>
      <c r="R108" s="41">
        <v>5070.810546875</v>
      </c>
      <c r="S108" s="41">
        <f t="shared" si="3"/>
        <v>1.4841685219235618E-2</v>
      </c>
      <c r="T108" s="41">
        <f t="shared" si="3"/>
        <v>1.6229302379743168E-2</v>
      </c>
    </row>
    <row r="109" spans="16:20" ht="15" customHeight="1">
      <c r="P109" s="53">
        <v>45537</v>
      </c>
      <c r="Q109" s="41">
        <v>22987.44921875</v>
      </c>
      <c r="R109" s="41">
        <v>5014.01953125</v>
      </c>
      <c r="S109" s="41">
        <f t="shared" si="3"/>
        <v>-9.9127556033858002E-3</v>
      </c>
      <c r="T109" s="41">
        <f t="shared" si="3"/>
        <v>-1.1199593260292228E-2</v>
      </c>
    </row>
    <row r="110" spans="16:20" ht="15" customHeight="1">
      <c r="P110" s="53">
        <v>45538</v>
      </c>
      <c r="Q110" s="41">
        <v>23014.30078125</v>
      </c>
      <c r="R110" s="41">
        <v>5043.037109375</v>
      </c>
      <c r="S110" s="41">
        <f t="shared" si="3"/>
        <v>1.1680966532858369E-3</v>
      </c>
      <c r="T110" s="41">
        <f t="shared" si="3"/>
        <v>5.78728861029504E-3</v>
      </c>
    </row>
    <row r="111" spans="16:20" ht="15" customHeight="1">
      <c r="P111" s="53">
        <v>45539</v>
      </c>
      <c r="Q111" s="41">
        <v>23184.400390625</v>
      </c>
      <c r="R111" s="41">
        <v>5073.49853515625</v>
      </c>
      <c r="S111" s="41">
        <f t="shared" si="3"/>
        <v>7.3910396406038975E-3</v>
      </c>
      <c r="T111" s="41">
        <f t="shared" si="3"/>
        <v>6.0402937992707299E-3</v>
      </c>
    </row>
    <row r="112" spans="16:20" ht="15" customHeight="1">
      <c r="P112" s="53">
        <v>45540</v>
      </c>
      <c r="Q112" s="41">
        <v>23156.69921875</v>
      </c>
      <c r="R112" s="41">
        <v>5097.68798828125</v>
      </c>
      <c r="S112" s="41">
        <f t="shared" si="3"/>
        <v>-1.1948194220369585E-3</v>
      </c>
      <c r="T112" s="41">
        <f t="shared" si="3"/>
        <v>4.7678052841410804E-3</v>
      </c>
    </row>
    <row r="113" spans="16:20" ht="15" customHeight="1">
      <c r="P113" s="53">
        <v>45541</v>
      </c>
      <c r="Q113" s="41">
        <v>23043.400390625</v>
      </c>
      <c r="R113" s="41">
        <v>5114.51123046875</v>
      </c>
      <c r="S113" s="41">
        <f t="shared" si="3"/>
        <v>-4.8927019803090867E-3</v>
      </c>
      <c r="T113" s="41">
        <f t="shared" si="3"/>
        <v>3.3001710238394111E-3</v>
      </c>
    </row>
    <row r="114" spans="16:20" ht="15" customHeight="1">
      <c r="P114" s="53">
        <v>45544</v>
      </c>
      <c r="Q114" s="41">
        <v>23009.400390625</v>
      </c>
      <c r="R114" s="41">
        <v>5150.0498046875</v>
      </c>
      <c r="S114" s="41">
        <f t="shared" si="3"/>
        <v>-1.4754766841543314E-3</v>
      </c>
      <c r="T114" s="41">
        <f t="shared" si="3"/>
        <v>6.9485768272509697E-3</v>
      </c>
    </row>
    <row r="115" spans="16:20" ht="15" customHeight="1">
      <c r="P115" s="53">
        <v>45545</v>
      </c>
      <c r="Q115" s="41">
        <v>23256.849609375</v>
      </c>
      <c r="R115" s="41">
        <v>5401.853515625</v>
      </c>
      <c r="S115" s="41">
        <f t="shared" si="3"/>
        <v>1.0754266280264359E-2</v>
      </c>
      <c r="T115" s="41">
        <f t="shared" si="3"/>
        <v>4.8893451614450786E-2</v>
      </c>
    </row>
    <row r="116" spans="16:20" ht="15" customHeight="1">
      <c r="P116" s="53">
        <v>45546</v>
      </c>
      <c r="Q116" s="41">
        <v>23220.400390625</v>
      </c>
      <c r="R116" s="41">
        <v>5414.64501953125</v>
      </c>
      <c r="S116" s="41">
        <f t="shared" si="3"/>
        <v>-1.5672466117382924E-3</v>
      </c>
      <c r="T116" s="41">
        <f t="shared" si="3"/>
        <v>2.3679842241649549E-3</v>
      </c>
    </row>
    <row r="117" spans="16:20" ht="15" customHeight="1">
      <c r="P117" s="53">
        <v>45547</v>
      </c>
      <c r="Q117" s="41">
        <v>23429.599609375</v>
      </c>
      <c r="R117" s="41">
        <v>5457.94775390625</v>
      </c>
      <c r="S117" s="41">
        <f t="shared" si="3"/>
        <v>9.0092855950262615E-3</v>
      </c>
      <c r="T117" s="41">
        <f t="shared" si="3"/>
        <v>7.9973357844885552E-3</v>
      </c>
    </row>
    <row r="118" spans="16:20" ht="15" customHeight="1">
      <c r="P118" s="53">
        <v>45548</v>
      </c>
      <c r="Q118" s="41">
        <v>23457.650390625</v>
      </c>
      <c r="R118" s="41">
        <v>5473.72607421875</v>
      </c>
      <c r="S118" s="41">
        <f t="shared" si="3"/>
        <v>1.1972369019390286E-3</v>
      </c>
      <c r="T118" s="41">
        <f t="shared" si="3"/>
        <v>2.8908888512550282E-3</v>
      </c>
    </row>
    <row r="119" spans="16:20" ht="15" customHeight="1">
      <c r="P119" s="53">
        <v>45551</v>
      </c>
      <c r="Q119" s="41">
        <v>23448.75</v>
      </c>
      <c r="R119" s="41">
        <v>5454.513671875</v>
      </c>
      <c r="S119" s="41">
        <f t="shared" si="3"/>
        <v>-3.7942379039620686E-4</v>
      </c>
      <c r="T119" s="41">
        <f t="shared" si="3"/>
        <v>-3.5099312759256287E-3</v>
      </c>
    </row>
    <row r="120" spans="16:20" ht="15" customHeight="1">
      <c r="P120" s="53">
        <v>45552</v>
      </c>
      <c r="Q120" s="41">
        <v>23383.650390625</v>
      </c>
      <c r="R120" s="41">
        <v>5427.48681640625</v>
      </c>
      <c r="S120" s="41">
        <f t="shared" si="3"/>
        <v>-2.7762507329815024E-3</v>
      </c>
      <c r="T120" s="41">
        <f t="shared" si="3"/>
        <v>-4.9549523742342116E-3</v>
      </c>
    </row>
    <row r="121" spans="16:20" ht="15" customHeight="1">
      <c r="P121" s="53">
        <v>45553</v>
      </c>
      <c r="Q121" s="41">
        <v>23025.19921875</v>
      </c>
      <c r="R121" s="41">
        <v>5444.359375</v>
      </c>
      <c r="S121" s="41">
        <f t="shared" si="3"/>
        <v>-1.5329136635514815E-2</v>
      </c>
      <c r="T121" s="41">
        <f t="shared" si="3"/>
        <v>3.1087240125111859E-3</v>
      </c>
    </row>
    <row r="122" spans="16:20" ht="15" customHeight="1">
      <c r="P122" s="53">
        <v>45554</v>
      </c>
      <c r="Q122" s="41">
        <v>22930.150390625</v>
      </c>
      <c r="R122" s="41">
        <v>5404.5908203125</v>
      </c>
      <c r="S122" s="41">
        <f t="shared" si="3"/>
        <v>-4.1280349942683378E-3</v>
      </c>
      <c r="T122" s="41">
        <f t="shared" si="3"/>
        <v>-7.3045425454670689E-3</v>
      </c>
    </row>
    <row r="123" spans="16:20" ht="15" customHeight="1">
      <c r="P123" s="53">
        <v>45555</v>
      </c>
      <c r="Q123" s="41">
        <v>23005.25</v>
      </c>
      <c r="R123" s="41">
        <v>5426.04296875</v>
      </c>
      <c r="S123" s="41">
        <f t="shared" si="3"/>
        <v>3.2751468305111729E-3</v>
      </c>
      <c r="T123" s="41">
        <f t="shared" si="3"/>
        <v>3.9692456192751352E-3</v>
      </c>
    </row>
    <row r="124" spans="16:20" ht="15" customHeight="1">
      <c r="P124" s="53">
        <v>45558</v>
      </c>
      <c r="Q124" s="41">
        <v>23134.25</v>
      </c>
      <c r="R124" s="41">
        <v>5348.49609375</v>
      </c>
      <c r="S124" s="41">
        <f t="shared" si="3"/>
        <v>5.6074156985905389E-3</v>
      </c>
      <c r="T124" s="41">
        <f t="shared" si="3"/>
        <v>-1.4291607244286993E-2</v>
      </c>
    </row>
    <row r="125" spans="16:20" ht="15" customHeight="1">
      <c r="P125" s="53">
        <v>45559</v>
      </c>
      <c r="Q125" s="41">
        <v>23188.400390625</v>
      </c>
      <c r="R125" s="41">
        <v>5351.4326171875</v>
      </c>
      <c r="S125" s="41">
        <f t="shared" si="3"/>
        <v>2.3407022326204655E-3</v>
      </c>
      <c r="T125" s="41">
        <f t="shared" si="3"/>
        <v>5.4903722205789447E-4</v>
      </c>
    </row>
    <row r="126" spans="16:20" ht="15" customHeight="1">
      <c r="P126" s="53">
        <v>45560</v>
      </c>
      <c r="Q126" s="41">
        <v>23249</v>
      </c>
      <c r="R126" s="41">
        <v>5369.8486328125</v>
      </c>
      <c r="S126" s="41">
        <f t="shared" si="3"/>
        <v>2.6133587636127001E-3</v>
      </c>
      <c r="T126" s="41">
        <f t="shared" si="3"/>
        <v>3.4413243971067181E-3</v>
      </c>
    </row>
    <row r="127" spans="16:20" ht="15" customHeight="1">
      <c r="P127" s="53">
        <v>45561</v>
      </c>
      <c r="Q127" s="41">
        <v>23250.900390625</v>
      </c>
      <c r="R127" s="41">
        <v>5354.9169921875</v>
      </c>
      <c r="S127" s="41">
        <f t="shared" si="3"/>
        <v>8.1740746913845755E-5</v>
      </c>
      <c r="T127" s="41">
        <f t="shared" si="3"/>
        <v>-2.7806446039763764E-3</v>
      </c>
    </row>
    <row r="128" spans="16:20" ht="15" customHeight="1">
      <c r="P128" s="53">
        <v>45562</v>
      </c>
      <c r="Q128" s="41">
        <v>23519.099609375</v>
      </c>
      <c r="R128" s="41">
        <v>5433.16064453125</v>
      </c>
      <c r="S128" s="41">
        <f t="shared" si="3"/>
        <v>1.1535003558749951E-2</v>
      </c>
      <c r="T128" s="41">
        <f t="shared" si="3"/>
        <v>1.4611552794917784E-2</v>
      </c>
    </row>
    <row r="129" spans="16:20" ht="15" customHeight="1">
      <c r="P129" s="53">
        <v>45565</v>
      </c>
      <c r="Q129" s="41">
        <v>23281.19921875</v>
      </c>
      <c r="R129" s="41">
        <v>5418.6767578125</v>
      </c>
      <c r="S129" s="41">
        <f t="shared" si="3"/>
        <v>-1.0115199755783594E-2</v>
      </c>
      <c r="T129" s="41">
        <f t="shared" si="3"/>
        <v>-2.6658307505280122E-3</v>
      </c>
    </row>
    <row r="130" spans="16:20" ht="15" customHeight="1">
      <c r="P130" s="53">
        <v>45566</v>
      </c>
      <c r="Q130" s="41">
        <v>23296.55078125</v>
      </c>
      <c r="R130" s="41">
        <v>5399.21484375</v>
      </c>
      <c r="S130" s="41">
        <f t="shared" si="3"/>
        <v>6.5939741143730679E-4</v>
      </c>
      <c r="T130" s="41">
        <f t="shared" si="3"/>
        <v>-3.5916359163591636E-3</v>
      </c>
    </row>
    <row r="131" spans="16:20" ht="15" customHeight="1">
      <c r="P131" s="53">
        <v>45568</v>
      </c>
      <c r="Q131" s="41">
        <v>23178.75</v>
      </c>
      <c r="R131" s="41">
        <v>5405.685546875</v>
      </c>
      <c r="S131" s="41">
        <f t="shared" si="3"/>
        <v>-5.0565760724034219E-3</v>
      </c>
      <c r="T131" s="41">
        <f t="shared" si="3"/>
        <v>1.1984526106588126E-3</v>
      </c>
    </row>
    <row r="132" spans="16:20" ht="15" customHeight="1">
      <c r="P132" s="53">
        <v>45569</v>
      </c>
      <c r="Q132" s="41">
        <v>23094.69921875</v>
      </c>
      <c r="R132" s="41">
        <v>5400.95703125</v>
      </c>
      <c r="S132" s="41">
        <f t="shared" si="3"/>
        <v>-3.6261999137140702E-3</v>
      </c>
      <c r="T132" s="41">
        <f t="shared" si="3"/>
        <v>-8.7473005671473653E-4</v>
      </c>
    </row>
    <row r="133" spans="16:20" ht="15" customHeight="1">
      <c r="P133" s="53">
        <v>45572</v>
      </c>
      <c r="Q133" s="41">
        <v>22977.80078125</v>
      </c>
      <c r="R133" s="41">
        <v>5379.853515625</v>
      </c>
      <c r="S133" s="41">
        <f t="shared" si="3"/>
        <v>-5.0616999335108522E-3</v>
      </c>
      <c r="T133" s="41">
        <f t="shared" si="3"/>
        <v>-3.9073659543845309E-3</v>
      </c>
    </row>
    <row r="134" spans="16:20" ht="15" customHeight="1">
      <c r="P134" s="53">
        <v>45573</v>
      </c>
      <c r="Q134" s="41">
        <v>23307.94921875</v>
      </c>
      <c r="R134" s="41">
        <v>5521.90625</v>
      </c>
      <c r="S134" s="41">
        <f t="shared" si="3"/>
        <v>1.4368147789382993E-2</v>
      </c>
      <c r="T134" s="41">
        <f t="shared" si="3"/>
        <v>2.6404572905642978E-2</v>
      </c>
    </row>
    <row r="135" spans="16:20" ht="15" customHeight="1">
      <c r="P135" s="53">
        <v>45574</v>
      </c>
      <c r="Q135" s="41">
        <v>23783.80078125</v>
      </c>
      <c r="R135" s="41">
        <v>5962.60009765625</v>
      </c>
      <c r="S135" s="41">
        <f t="shared" si="3"/>
        <v>2.0415848603153933E-2</v>
      </c>
      <c r="T135" s="41">
        <f t="shared" si="3"/>
        <v>7.9808281362301295E-2</v>
      </c>
    </row>
    <row r="136" spans="16:20" ht="15" customHeight="1">
      <c r="P136" s="53">
        <v>45575</v>
      </c>
      <c r="Q136" s="41">
        <v>23305.150390625</v>
      </c>
      <c r="R136" s="41">
        <v>5915.2158203125</v>
      </c>
      <c r="S136" s="41">
        <f t="shared" ref="S136:T199" si="4">(Q136-Q135)/Q135</f>
        <v>-2.0125058859488298E-2</v>
      </c>
      <c r="T136" s="41">
        <f t="shared" si="4"/>
        <v>-7.9469151993566672E-3</v>
      </c>
    </row>
    <row r="137" spans="16:20" ht="15" customHeight="1">
      <c r="P137" s="53">
        <v>45576</v>
      </c>
      <c r="Q137" s="41">
        <v>23582.25</v>
      </c>
      <c r="R137" s="41">
        <v>6114.40869140625</v>
      </c>
      <c r="S137" s="41">
        <f t="shared" si="4"/>
        <v>1.1890058838087109E-2</v>
      </c>
      <c r="T137" s="41">
        <f t="shared" si="4"/>
        <v>3.3674658227977668E-2</v>
      </c>
    </row>
    <row r="138" spans="16:20" ht="15" customHeight="1">
      <c r="P138" s="53">
        <v>45579</v>
      </c>
      <c r="Q138" s="41">
        <v>23680</v>
      </c>
      <c r="R138" s="41">
        <v>6186.6796875</v>
      </c>
      <c r="S138" s="41">
        <f t="shared" si="4"/>
        <v>4.1450667345143064E-3</v>
      </c>
      <c r="T138" s="41">
        <f t="shared" si="4"/>
        <v>1.1819784993326711E-2</v>
      </c>
    </row>
    <row r="139" spans="16:20" ht="15" customHeight="1">
      <c r="P139" s="53">
        <v>45580</v>
      </c>
      <c r="Q139" s="41">
        <v>23555.69921875</v>
      </c>
      <c r="R139" s="41">
        <v>6079.02001953125</v>
      </c>
      <c r="S139" s="41">
        <f t="shared" si="4"/>
        <v>-5.249188397381757E-3</v>
      </c>
      <c r="T139" s="41">
        <f t="shared" si="4"/>
        <v>-1.7401849361342096E-2</v>
      </c>
    </row>
    <row r="140" spans="16:20" ht="15" customHeight="1">
      <c r="P140" s="53">
        <v>45581</v>
      </c>
      <c r="Q140" s="41">
        <v>23467.349609375</v>
      </c>
      <c r="R140" s="41">
        <v>6095.89306640625</v>
      </c>
      <c r="S140" s="41">
        <f t="shared" si="4"/>
        <v>-3.7506680890489114E-3</v>
      </c>
      <c r="T140" s="41">
        <f t="shared" si="4"/>
        <v>2.7756195605194061E-3</v>
      </c>
    </row>
    <row r="141" spans="16:20" ht="15" customHeight="1">
      <c r="P141" s="53">
        <v>45582</v>
      </c>
      <c r="Q141" s="41">
        <v>23254</v>
      </c>
      <c r="R141" s="41">
        <v>6049.8525390625</v>
      </c>
      <c r="S141" s="41">
        <f t="shared" si="4"/>
        <v>-9.0913380899975468E-3</v>
      </c>
      <c r="T141" s="41">
        <f t="shared" si="4"/>
        <v>-7.5527124315014531E-3</v>
      </c>
    </row>
    <row r="142" spans="16:20" ht="15" customHeight="1">
      <c r="P142" s="53">
        <v>45583</v>
      </c>
      <c r="Q142" s="41">
        <v>23356.19921875</v>
      </c>
      <c r="R142" s="41">
        <v>5994.95263671875</v>
      </c>
      <c r="S142" s="41">
        <f t="shared" si="4"/>
        <v>4.3949092091683153E-3</v>
      </c>
      <c r="T142" s="41">
        <f t="shared" si="4"/>
        <v>-9.0745852050564887E-3</v>
      </c>
    </row>
    <row r="143" spans="16:20" ht="15" customHeight="1">
      <c r="P143" s="53">
        <v>45586</v>
      </c>
      <c r="Q143" s="41">
        <v>23122.69921875</v>
      </c>
      <c r="R143" s="41">
        <v>5898.1435546875</v>
      </c>
      <c r="S143" s="41">
        <f t="shared" si="4"/>
        <v>-9.9973457929982794E-3</v>
      </c>
      <c r="T143" s="41">
        <f t="shared" si="4"/>
        <v>-1.6148431505246561E-2</v>
      </c>
    </row>
    <row r="144" spans="16:20" ht="15" customHeight="1">
      <c r="P144" s="53">
        <v>45587</v>
      </c>
      <c r="Q144" s="41">
        <v>22828.19921875</v>
      </c>
      <c r="R144" s="41">
        <v>5791.57861328125</v>
      </c>
      <c r="S144" s="41">
        <f t="shared" si="4"/>
        <v>-1.2736402321109314E-2</v>
      </c>
      <c r="T144" s="41">
        <f t="shared" si="4"/>
        <v>-1.8067539458506126E-2</v>
      </c>
    </row>
    <row r="145" spans="16:20" ht="15" customHeight="1">
      <c r="P145" s="53">
        <v>45588</v>
      </c>
      <c r="Q145" s="41">
        <v>22471.599609375</v>
      </c>
      <c r="R145" s="41">
        <v>5701.63818359375</v>
      </c>
      <c r="S145" s="41">
        <f t="shared" si="4"/>
        <v>-1.562101355248845E-2</v>
      </c>
      <c r="T145" s="41">
        <f t="shared" si="4"/>
        <v>-1.5529518926195455E-2</v>
      </c>
    </row>
    <row r="146" spans="16:20" ht="15" customHeight="1">
      <c r="P146" s="53">
        <v>45589</v>
      </c>
      <c r="Q146" s="41">
        <v>22570.80078125</v>
      </c>
      <c r="R146" s="41">
        <v>5710.64697265625</v>
      </c>
      <c r="S146" s="41">
        <f t="shared" si="4"/>
        <v>4.4145131454555618E-3</v>
      </c>
      <c r="T146" s="41">
        <f t="shared" si="4"/>
        <v>1.5800352060961098E-3</v>
      </c>
    </row>
    <row r="147" spans="16:20" ht="15" customHeight="1">
      <c r="P147" s="53">
        <v>45590</v>
      </c>
      <c r="Q147" s="41">
        <v>22574.55078125</v>
      </c>
      <c r="R147" s="41">
        <v>5754.54736328125</v>
      </c>
      <c r="S147" s="41">
        <f t="shared" si="4"/>
        <v>1.6614386154678205E-4</v>
      </c>
      <c r="T147" s="41">
        <f t="shared" si="4"/>
        <v>7.6874635807823669E-3</v>
      </c>
    </row>
    <row r="148" spans="16:20" ht="15" customHeight="1">
      <c r="P148" s="53">
        <v>45593</v>
      </c>
      <c r="Q148" s="41">
        <v>22857.25</v>
      </c>
      <c r="R148" s="41">
        <v>5788.04443359375</v>
      </c>
      <c r="S148" s="41">
        <f t="shared" si="4"/>
        <v>1.2522916690098865E-2</v>
      </c>
      <c r="T148" s="41">
        <f t="shared" si="4"/>
        <v>5.8209739529191968E-3</v>
      </c>
    </row>
    <row r="149" spans="16:20" ht="15" customHeight="1">
      <c r="P149" s="53">
        <v>45594</v>
      </c>
      <c r="Q149" s="41">
        <v>22601.400390625</v>
      </c>
      <c r="R149" s="41">
        <v>5777.044921875</v>
      </c>
      <c r="S149" s="41">
        <f t="shared" si="4"/>
        <v>-1.1193367941244025E-2</v>
      </c>
      <c r="T149" s="41">
        <f t="shared" si="4"/>
        <v>-1.9003848095755706E-3</v>
      </c>
    </row>
    <row r="150" spans="16:20" ht="15" customHeight="1">
      <c r="P150" s="53">
        <v>45595</v>
      </c>
      <c r="Q150" s="41">
        <v>22374.94921875</v>
      </c>
      <c r="R150" s="41">
        <v>5859.91748046875</v>
      </c>
      <c r="S150" s="41">
        <f t="shared" si="4"/>
        <v>-1.0019342516888083E-2</v>
      </c>
      <c r="T150" s="41">
        <f t="shared" si="4"/>
        <v>1.4345146993742407E-2</v>
      </c>
    </row>
    <row r="151" spans="16:20" ht="15" customHeight="1">
      <c r="P151" s="53">
        <v>45596</v>
      </c>
      <c r="Q151" s="41">
        <v>22735.55078125</v>
      </c>
      <c r="R151" s="41">
        <v>5862.95361328125</v>
      </c>
      <c r="S151" s="41">
        <f t="shared" si="4"/>
        <v>1.6116307526535936E-2</v>
      </c>
      <c r="T151" s="41">
        <f t="shared" si="4"/>
        <v>5.1811869751058881E-4</v>
      </c>
    </row>
    <row r="152" spans="16:20" ht="15" customHeight="1">
      <c r="P152" s="53">
        <v>45597</v>
      </c>
      <c r="Q152" s="41">
        <v>22807.150390625</v>
      </c>
      <c r="R152" s="41">
        <v>5876.79052734375</v>
      </c>
      <c r="S152" s="41">
        <f t="shared" si="4"/>
        <v>3.1492357525839299E-3</v>
      </c>
      <c r="T152" s="41">
        <f t="shared" si="4"/>
        <v>2.3600585942135841E-3</v>
      </c>
    </row>
    <row r="153" spans="16:20" ht="15" customHeight="1">
      <c r="P153" s="53">
        <v>45600</v>
      </c>
      <c r="Q153" s="41">
        <v>22638.30078125</v>
      </c>
      <c r="R153" s="41">
        <v>5874.9990234375</v>
      </c>
      <c r="S153" s="41">
        <f t="shared" si="4"/>
        <v>-7.4033628262655084E-3</v>
      </c>
      <c r="T153" s="41">
        <f t="shared" si="4"/>
        <v>-3.0484392763608362E-4</v>
      </c>
    </row>
    <row r="154" spans="16:20" ht="15" customHeight="1">
      <c r="P154" s="53">
        <v>45601</v>
      </c>
      <c r="Q154" s="41">
        <v>22661.25</v>
      </c>
      <c r="R154" s="41">
        <v>5784.9091796875</v>
      </c>
      <c r="S154" s="41">
        <f t="shared" si="4"/>
        <v>1.0137341566292606E-3</v>
      </c>
      <c r="T154" s="41">
        <f t="shared" si="4"/>
        <v>-1.5334444038305193E-2</v>
      </c>
    </row>
    <row r="155" spans="16:20" ht="15" customHeight="1">
      <c r="P155" s="53">
        <v>45602</v>
      </c>
      <c r="Q155" s="41">
        <v>22920.349609375</v>
      </c>
      <c r="R155" s="41">
        <v>5927.1611328125</v>
      </c>
      <c r="S155" s="41">
        <f t="shared" si="4"/>
        <v>1.1433597412984721E-2</v>
      </c>
      <c r="T155" s="41">
        <f t="shared" si="4"/>
        <v>2.4590179155186742E-2</v>
      </c>
    </row>
    <row r="156" spans="16:20" ht="15" customHeight="1">
      <c r="P156" s="53">
        <v>45603</v>
      </c>
      <c r="Q156" s="41">
        <v>22526.94921875</v>
      </c>
      <c r="R156" s="41">
        <v>5932.93505859375</v>
      </c>
      <c r="S156" s="41">
        <f t="shared" si="4"/>
        <v>-1.716380410114204E-2</v>
      </c>
      <c r="T156" s="41">
        <f t="shared" si="4"/>
        <v>9.7414692326918599E-4</v>
      </c>
    </row>
    <row r="157" spans="16:20" ht="15" customHeight="1">
      <c r="P157" s="53">
        <v>45604</v>
      </c>
      <c r="Q157" s="41">
        <v>22542.25</v>
      </c>
      <c r="R157" s="41">
        <v>5922.880859375</v>
      </c>
      <c r="S157" s="41">
        <f t="shared" si="4"/>
        <v>6.7922118975900217E-4</v>
      </c>
      <c r="T157" s="41">
        <f t="shared" si="4"/>
        <v>-1.6946417109667622E-3</v>
      </c>
    </row>
    <row r="158" spans="16:20" ht="15" customHeight="1">
      <c r="P158" s="53">
        <v>45607</v>
      </c>
      <c r="Q158" s="41">
        <v>22344.25</v>
      </c>
      <c r="R158" s="41">
        <v>5873.20703125</v>
      </c>
      <c r="S158" s="41">
        <f t="shared" si="4"/>
        <v>-8.783506526633322E-3</v>
      </c>
      <c r="T158" s="41">
        <f t="shared" si="4"/>
        <v>-8.3867680786409958E-3</v>
      </c>
    </row>
    <row r="159" spans="16:20" ht="15" customHeight="1">
      <c r="P159" s="53">
        <v>45608</v>
      </c>
      <c r="Q159" s="41">
        <v>22151.599609375</v>
      </c>
      <c r="R159" s="41">
        <v>5784.36181640625</v>
      </c>
      <c r="S159" s="41">
        <f t="shared" si="4"/>
        <v>-8.6219224464907079E-3</v>
      </c>
      <c r="T159" s="41">
        <f t="shared" si="4"/>
        <v>-1.5127206374817846E-2</v>
      </c>
    </row>
    <row r="160" spans="16:20" ht="15" customHeight="1">
      <c r="P160" s="53">
        <v>45609</v>
      </c>
      <c r="Q160" s="41">
        <v>21809.30078125</v>
      </c>
      <c r="R160" s="41">
        <v>5743.94580078125</v>
      </c>
      <c r="S160" s="41">
        <f t="shared" si="4"/>
        <v>-1.5452555759455507E-2</v>
      </c>
      <c r="T160" s="41">
        <f t="shared" si="4"/>
        <v>-6.9871174915731591E-3</v>
      </c>
    </row>
    <row r="161" spans="16:20" ht="15" customHeight="1">
      <c r="P161" s="53">
        <v>45610</v>
      </c>
      <c r="Q161" s="41">
        <v>21752</v>
      </c>
      <c r="R161" s="41">
        <v>5724.0361328125</v>
      </c>
      <c r="S161" s="41">
        <f t="shared" si="4"/>
        <v>-2.627355265752624E-3</v>
      </c>
      <c r="T161" s="41">
        <f t="shared" si="4"/>
        <v>-3.466200528222608E-3</v>
      </c>
    </row>
    <row r="162" spans="16:20" ht="15" customHeight="1">
      <c r="P162" s="53">
        <v>45614</v>
      </c>
      <c r="Q162" s="41">
        <v>21544.150390625</v>
      </c>
      <c r="R162" s="41">
        <v>5740.51123046875</v>
      </c>
      <c r="S162" s="41">
        <f t="shared" si="4"/>
        <v>-9.5554252195200438E-3</v>
      </c>
      <c r="T162" s="41">
        <f t="shared" si="4"/>
        <v>2.8782308975668497E-3</v>
      </c>
    </row>
    <row r="163" spans="16:20" ht="15" customHeight="1">
      <c r="P163" s="53">
        <v>45615</v>
      </c>
      <c r="Q163" s="41">
        <v>21768.849609375</v>
      </c>
      <c r="R163" s="41">
        <v>5874.10302734375</v>
      </c>
      <c r="S163" s="41">
        <f t="shared" si="4"/>
        <v>1.0429708977884712E-2</v>
      </c>
      <c r="T163" s="41">
        <f t="shared" si="4"/>
        <v>2.3271759519594454E-2</v>
      </c>
    </row>
    <row r="164" spans="16:20" ht="15" customHeight="1">
      <c r="P164" s="53">
        <v>45617</v>
      </c>
      <c r="Q164" s="41">
        <v>21740.099609375</v>
      </c>
      <c r="R164" s="41">
        <v>5950.00732421875</v>
      </c>
      <c r="S164" s="41">
        <f t="shared" si="4"/>
        <v>-1.3206945022771661E-3</v>
      </c>
      <c r="T164" s="41">
        <f t="shared" si="4"/>
        <v>1.2921853178547955E-2</v>
      </c>
    </row>
    <row r="165" spans="16:20" ht="15" customHeight="1">
      <c r="P165" s="53">
        <v>45618</v>
      </c>
      <c r="Q165" s="41">
        <v>21962.05078125</v>
      </c>
      <c r="R165" s="41">
        <v>5971.1611328125</v>
      </c>
      <c r="S165" s="41">
        <f t="shared" si="4"/>
        <v>1.0209298754973865E-2</v>
      </c>
      <c r="T165" s="41">
        <f t="shared" si="4"/>
        <v>3.5552575721455176E-3</v>
      </c>
    </row>
    <row r="166" spans="16:20" ht="15" customHeight="1">
      <c r="P166" s="53">
        <v>45621</v>
      </c>
      <c r="Q166" s="41">
        <v>22177.05078125</v>
      </c>
      <c r="R166" s="41">
        <v>6110.6259765625</v>
      </c>
      <c r="S166" s="41">
        <f t="shared" si="4"/>
        <v>9.7896140092506873E-3</v>
      </c>
      <c r="T166" s="41">
        <f t="shared" si="4"/>
        <v>2.3356402657368939E-2</v>
      </c>
    </row>
    <row r="167" spans="16:20" ht="15" customHeight="1">
      <c r="P167" s="53">
        <v>45622</v>
      </c>
      <c r="Q167" s="41">
        <v>21961.75</v>
      </c>
      <c r="R167" s="41">
        <v>6044.974609375</v>
      </c>
      <c r="S167" s="41">
        <f t="shared" si="4"/>
        <v>-9.7082692993619348E-3</v>
      </c>
      <c r="T167" s="41">
        <f t="shared" si="4"/>
        <v>-1.074380389821074E-2</v>
      </c>
    </row>
    <row r="168" spans="16:20" ht="15" customHeight="1">
      <c r="P168" s="53">
        <v>45623</v>
      </c>
      <c r="Q168" s="41">
        <v>21828.599609375</v>
      </c>
      <c r="R168" s="41">
        <v>5972.00732421875</v>
      </c>
      <c r="S168" s="41">
        <f t="shared" si="4"/>
        <v>-6.0628315423406605E-3</v>
      </c>
      <c r="T168" s="41">
        <f t="shared" si="4"/>
        <v>-1.2070734762572345E-2</v>
      </c>
    </row>
    <row r="169" spans="16:20" ht="15" customHeight="1">
      <c r="P169" s="53">
        <v>45624</v>
      </c>
      <c r="Q169" s="41">
        <v>21728.599609375</v>
      </c>
      <c r="R169" s="41">
        <v>5924.82177734375</v>
      </c>
      <c r="S169" s="41">
        <f t="shared" si="4"/>
        <v>-4.5811459181766181E-3</v>
      </c>
      <c r="T169" s="41">
        <f t="shared" si="4"/>
        <v>-7.9011200611969687E-3</v>
      </c>
    </row>
    <row r="170" spans="16:20" ht="15" customHeight="1">
      <c r="P170" s="53">
        <v>45625</v>
      </c>
      <c r="Q170" s="41">
        <v>22240.19921875</v>
      </c>
      <c r="R170" s="41">
        <v>6144.720703125</v>
      </c>
      <c r="S170" s="41">
        <f t="shared" si="4"/>
        <v>2.3544987646339884E-2</v>
      </c>
      <c r="T170" s="41">
        <f t="shared" si="4"/>
        <v>3.7114859154436262E-2</v>
      </c>
    </row>
    <row r="171" spans="16:20" ht="15" customHeight="1">
      <c r="P171" s="53">
        <v>45628</v>
      </c>
      <c r="Q171" s="41">
        <v>22450.19921875</v>
      </c>
      <c r="R171" s="41">
        <v>6226.99609375</v>
      </c>
      <c r="S171" s="41">
        <f t="shared" si="4"/>
        <v>9.4423614615356376E-3</v>
      </c>
      <c r="T171" s="41">
        <f t="shared" si="4"/>
        <v>1.3389606232738533E-2</v>
      </c>
    </row>
    <row r="172" spans="16:20" ht="15" customHeight="1">
      <c r="P172" s="53">
        <v>45629</v>
      </c>
      <c r="Q172" s="41">
        <v>22445.69921875</v>
      </c>
      <c r="R172" s="41">
        <v>6182.39892578125</v>
      </c>
      <c r="S172" s="41">
        <f t="shared" si="4"/>
        <v>-2.0044365558420887E-4</v>
      </c>
      <c r="T172" s="41">
        <f t="shared" si="4"/>
        <v>-7.1619071695760211E-3</v>
      </c>
    </row>
    <row r="173" spans="16:20" ht="15" customHeight="1">
      <c r="P173" s="53">
        <v>45630</v>
      </c>
      <c r="Q173" s="41">
        <v>22422.900390625</v>
      </c>
      <c r="R173" s="41">
        <v>6228.140625</v>
      </c>
      <c r="S173" s="41">
        <f t="shared" si="4"/>
        <v>-1.0157325865774328E-3</v>
      </c>
      <c r="T173" s="41">
        <f t="shared" si="4"/>
        <v>7.3986974583607557E-3</v>
      </c>
    </row>
    <row r="174" spans="16:20" ht="15" customHeight="1">
      <c r="P174" s="53">
        <v>45631</v>
      </c>
      <c r="Q174" s="41">
        <v>22463.400390625</v>
      </c>
      <c r="R174" s="41">
        <v>6068.5673828125</v>
      </c>
      <c r="S174" s="41">
        <f t="shared" si="4"/>
        <v>1.8061891768886877E-3</v>
      </c>
      <c r="T174" s="41">
        <f t="shared" si="4"/>
        <v>-2.5621329349399525E-2</v>
      </c>
    </row>
    <row r="175" spans="16:20" ht="15" customHeight="1">
      <c r="P175" s="53">
        <v>45632</v>
      </c>
      <c r="Q175" s="41">
        <v>22434.75</v>
      </c>
      <c r="R175" s="41">
        <v>6102.9609375</v>
      </c>
      <c r="S175" s="41">
        <f t="shared" si="4"/>
        <v>-1.2754253642274531E-3</v>
      </c>
      <c r="T175" s="41">
        <f t="shared" si="4"/>
        <v>5.6674916035224414E-3</v>
      </c>
    </row>
    <row r="176" spans="16:20" ht="15" customHeight="1">
      <c r="P176" s="53">
        <v>45635</v>
      </c>
      <c r="Q176" s="41">
        <v>22309.099609375</v>
      </c>
      <c r="R176" s="41">
        <v>5932.63623046875</v>
      </c>
      <c r="S176" s="41">
        <f t="shared" si="4"/>
        <v>-5.6007038467110176E-3</v>
      </c>
      <c r="T176" s="41">
        <f t="shared" si="4"/>
        <v>-2.790853632778147E-2</v>
      </c>
    </row>
    <row r="177" spans="16:20" ht="15" customHeight="1">
      <c r="P177" s="53">
        <v>45636</v>
      </c>
      <c r="Q177" s="41">
        <v>22291.44921875</v>
      </c>
      <c r="R177" s="41">
        <v>5905.708984375</v>
      </c>
      <c r="S177" s="41">
        <f t="shared" si="4"/>
        <v>-7.9117449534282141E-4</v>
      </c>
      <c r="T177" s="41">
        <f t="shared" si="4"/>
        <v>-4.5388331675313967E-3</v>
      </c>
    </row>
    <row r="178" spans="16:20" ht="15" customHeight="1">
      <c r="P178" s="53">
        <v>45637</v>
      </c>
      <c r="Q178" s="41">
        <v>22302.599609375</v>
      </c>
      <c r="R178" s="41">
        <v>5901.080078125</v>
      </c>
      <c r="S178" s="41">
        <f t="shared" si="4"/>
        <v>5.0020931863061977E-4</v>
      </c>
      <c r="T178" s="41">
        <f t="shared" si="4"/>
        <v>-7.8380195540398378E-4</v>
      </c>
    </row>
    <row r="179" spans="16:20" ht="15" customHeight="1">
      <c r="P179" s="53">
        <v>45638</v>
      </c>
      <c r="Q179" s="41">
        <v>22229.30078125</v>
      </c>
      <c r="R179" s="41">
        <v>5924.72265625</v>
      </c>
      <c r="S179" s="41">
        <f t="shared" si="4"/>
        <v>-3.2865598364680546E-3</v>
      </c>
      <c r="T179" s="41">
        <f t="shared" si="4"/>
        <v>4.0064831881610656E-3</v>
      </c>
    </row>
    <row r="180" spans="16:20" ht="15" customHeight="1">
      <c r="P180" s="53">
        <v>45639</v>
      </c>
      <c r="Q180" s="41">
        <v>22157.349609375</v>
      </c>
      <c r="R180" s="41">
        <v>5850.0625</v>
      </c>
      <c r="S180" s="41">
        <f t="shared" si="4"/>
        <v>-3.2367717087929942E-3</v>
      </c>
      <c r="T180" s="41">
        <f t="shared" si="4"/>
        <v>-1.2601460115815021E-2</v>
      </c>
    </row>
    <row r="181" spans="16:20" ht="15" customHeight="1">
      <c r="P181" s="53">
        <v>45642</v>
      </c>
      <c r="Q181" s="41">
        <v>22255.55078125</v>
      </c>
      <c r="R181" s="41">
        <v>5829.904296875</v>
      </c>
      <c r="S181" s="41">
        <f t="shared" si="4"/>
        <v>4.4319909017209386E-3</v>
      </c>
      <c r="T181" s="41">
        <f t="shared" si="4"/>
        <v>-3.4458098738261345E-3</v>
      </c>
    </row>
    <row r="182" spans="16:20" ht="15" customHeight="1">
      <c r="P182" s="53">
        <v>45643</v>
      </c>
      <c r="Q182" s="41">
        <v>22074.55078125</v>
      </c>
      <c r="R182" s="41">
        <v>5820.89501953125</v>
      </c>
      <c r="S182" s="41">
        <f t="shared" si="4"/>
        <v>-8.1328025434665961E-3</v>
      </c>
      <c r="T182" s="41">
        <f t="shared" si="4"/>
        <v>-1.5453559586868753E-3</v>
      </c>
    </row>
    <row r="183" spans="16:20" ht="15" customHeight="1">
      <c r="P183" s="53">
        <v>45644</v>
      </c>
      <c r="Q183" s="41">
        <v>22314.55078125</v>
      </c>
      <c r="R183" s="41">
        <v>5823.234375</v>
      </c>
      <c r="S183" s="41">
        <f t="shared" si="4"/>
        <v>1.0872248426629576E-2</v>
      </c>
      <c r="T183" s="41">
        <f t="shared" si="4"/>
        <v>4.0188930755504084E-4</v>
      </c>
    </row>
    <row r="184" spans="16:20" ht="15" customHeight="1">
      <c r="P184" s="53">
        <v>45645</v>
      </c>
      <c r="Q184" s="41">
        <v>22697.900390625</v>
      </c>
      <c r="R184" s="41">
        <v>5794.3662109375</v>
      </c>
      <c r="S184" s="41">
        <f t="shared" si="4"/>
        <v>1.7179355889033309E-2</v>
      </c>
      <c r="T184" s="41">
        <f t="shared" si="4"/>
        <v>-4.9574106421742641E-3</v>
      </c>
    </row>
    <row r="185" spans="16:20" ht="15" customHeight="1">
      <c r="P185" s="53">
        <v>45646</v>
      </c>
      <c r="Q185" s="41">
        <v>22501.849609375</v>
      </c>
      <c r="R185" s="41">
        <v>5820.248046875</v>
      </c>
      <c r="S185" s="41">
        <f t="shared" si="4"/>
        <v>-8.6373971986843153E-3</v>
      </c>
      <c r="T185" s="41">
        <f t="shared" si="4"/>
        <v>4.4667242275169289E-3</v>
      </c>
    </row>
    <row r="186" spans="16:20" ht="15" customHeight="1">
      <c r="P186" s="53">
        <v>45649</v>
      </c>
      <c r="Q186" s="41">
        <v>22572.05078125</v>
      </c>
      <c r="R186" s="41">
        <v>5822.93603515625</v>
      </c>
      <c r="S186" s="41">
        <f t="shared" si="4"/>
        <v>3.1197956209676166E-3</v>
      </c>
      <c r="T186" s="41">
        <f t="shared" si="4"/>
        <v>4.6183397332923485E-4</v>
      </c>
    </row>
    <row r="187" spans="16:20" ht="15" customHeight="1">
      <c r="P187" s="53">
        <v>45650</v>
      </c>
      <c r="Q187" s="41">
        <v>22558.900390625</v>
      </c>
      <c r="R187" s="41">
        <v>5756.14013671875</v>
      </c>
      <c r="S187" s="41">
        <f t="shared" si="4"/>
        <v>-5.8259618288311133E-4</v>
      </c>
      <c r="T187" s="41">
        <f t="shared" si="4"/>
        <v>-1.1471171593542608E-2</v>
      </c>
    </row>
    <row r="188" spans="16:20" ht="15" customHeight="1">
      <c r="P188" s="53">
        <v>45652</v>
      </c>
      <c r="Q188" s="41">
        <v>22712.55078125</v>
      </c>
      <c r="R188" s="41">
        <v>5860.06689453125</v>
      </c>
      <c r="S188" s="41">
        <f t="shared" si="4"/>
        <v>6.8110762477081484E-3</v>
      </c>
      <c r="T188" s="41">
        <f t="shared" si="4"/>
        <v>1.805493878607041E-2</v>
      </c>
    </row>
    <row r="189" spans="16:20" ht="15" customHeight="1">
      <c r="P189" s="53">
        <v>45653</v>
      </c>
      <c r="Q189" s="41">
        <v>23008.349609375</v>
      </c>
      <c r="R189" s="41">
        <v>5854.392578125</v>
      </c>
      <c r="S189" s="41">
        <f t="shared" si="4"/>
        <v>1.3023584667962183E-2</v>
      </c>
      <c r="T189" s="41">
        <f t="shared" si="4"/>
        <v>-9.6830232630030274E-4</v>
      </c>
    </row>
    <row r="190" spans="16:20" ht="15" customHeight="1">
      <c r="P190" s="53">
        <v>45656</v>
      </c>
      <c r="Q190" s="41">
        <v>23241.150390625</v>
      </c>
      <c r="R190" s="41">
        <v>6017.599609375</v>
      </c>
      <c r="S190" s="41">
        <f t="shared" si="4"/>
        <v>1.0118099959466142E-2</v>
      </c>
      <c r="T190" s="41">
        <f t="shared" si="4"/>
        <v>2.7877705342109239E-2</v>
      </c>
    </row>
    <row r="191" spans="16:20" ht="15" customHeight="1">
      <c r="P191" s="53">
        <v>45657</v>
      </c>
      <c r="Q191" s="41">
        <v>23412.25</v>
      </c>
      <c r="R191" s="41">
        <v>6071.1552734375</v>
      </c>
      <c r="S191" s="41">
        <f t="shared" si="4"/>
        <v>7.3619251413655513E-3</v>
      </c>
      <c r="T191" s="41">
        <f t="shared" si="4"/>
        <v>8.8998383972014386E-3</v>
      </c>
    </row>
    <row r="192" spans="16:20" ht="15" customHeight="1">
      <c r="P192" s="53">
        <v>45658</v>
      </c>
      <c r="Q192" s="41">
        <v>23459.75</v>
      </c>
      <c r="R192" s="41">
        <v>6045.47265625</v>
      </c>
      <c r="S192" s="41">
        <f t="shared" si="4"/>
        <v>2.0288524170039191E-3</v>
      </c>
      <c r="T192" s="41">
        <f t="shared" si="4"/>
        <v>-4.2302685454062607E-3</v>
      </c>
    </row>
    <row r="193" spans="16:20" ht="15" customHeight="1">
      <c r="P193" s="53">
        <v>45659</v>
      </c>
      <c r="Q193" s="41">
        <v>23553.400390625</v>
      </c>
      <c r="R193" s="41">
        <v>6116.8974609375</v>
      </c>
      <c r="S193" s="41">
        <f t="shared" si="4"/>
        <v>3.9919602990227945E-3</v>
      </c>
      <c r="T193" s="41">
        <f t="shared" si="4"/>
        <v>1.181459395299039E-2</v>
      </c>
    </row>
    <row r="194" spans="16:20" ht="15" customHeight="1">
      <c r="P194" s="53">
        <v>45660</v>
      </c>
      <c r="Q194" s="41">
        <v>23263.5</v>
      </c>
      <c r="R194" s="41">
        <v>6020.88427734375</v>
      </c>
      <c r="S194" s="41">
        <f t="shared" si="4"/>
        <v>-1.2308218168803751E-2</v>
      </c>
      <c r="T194" s="41">
        <f t="shared" si="4"/>
        <v>-1.5696385987649799E-2</v>
      </c>
    </row>
    <row r="195" spans="16:20" ht="15" customHeight="1">
      <c r="P195" s="53">
        <v>45663</v>
      </c>
      <c r="Q195" s="41">
        <v>23073.05078125</v>
      </c>
      <c r="R195" s="41">
        <v>5864.9443359375</v>
      </c>
      <c r="S195" s="41">
        <f t="shared" si="4"/>
        <v>-8.1866107314032717E-3</v>
      </c>
      <c r="T195" s="41">
        <f t="shared" si="4"/>
        <v>-2.5899840326286165E-2</v>
      </c>
    </row>
    <row r="196" spans="16:20" ht="15" customHeight="1">
      <c r="P196" s="53">
        <v>45664</v>
      </c>
      <c r="Q196" s="41">
        <v>23228.55078125</v>
      </c>
      <c r="R196" s="41">
        <v>5881.1708984375</v>
      </c>
      <c r="S196" s="41">
        <f t="shared" si="4"/>
        <v>6.739464211917956E-3</v>
      </c>
      <c r="T196" s="41">
        <f t="shared" si="4"/>
        <v>2.7667035815790424E-3</v>
      </c>
    </row>
    <row r="197" spans="16:20" ht="15" customHeight="1">
      <c r="P197" s="53">
        <v>45665</v>
      </c>
      <c r="Q197" s="41">
        <v>23011.099609375</v>
      </c>
      <c r="R197" s="41">
        <v>5841.7998046875</v>
      </c>
      <c r="S197" s="41">
        <f t="shared" si="4"/>
        <v>-9.3613748839865545E-3</v>
      </c>
      <c r="T197" s="41">
        <f t="shared" si="4"/>
        <v>-6.6944311651375493E-3</v>
      </c>
    </row>
    <row r="198" spans="16:20" ht="15" customHeight="1">
      <c r="P198" s="53">
        <v>45666</v>
      </c>
      <c r="Q198" s="41">
        <v>22868.099609375</v>
      </c>
      <c r="R198" s="41">
        <v>5798.1484375</v>
      </c>
      <c r="S198" s="41">
        <f t="shared" si="4"/>
        <v>-6.2143922901337608E-3</v>
      </c>
      <c r="T198" s="41">
        <f t="shared" si="4"/>
        <v>-7.472246336218822E-3</v>
      </c>
    </row>
    <row r="199" spans="16:20" ht="15" customHeight="1">
      <c r="P199" s="53">
        <v>45667</v>
      </c>
      <c r="Q199" s="41">
        <v>22380.849609375</v>
      </c>
      <c r="R199" s="41">
        <v>5745.18994140625</v>
      </c>
      <c r="S199" s="41">
        <f t="shared" si="4"/>
        <v>-2.1306973833551394E-2</v>
      </c>
      <c r="T199" s="41">
        <f t="shared" si="4"/>
        <v>-9.1336909816307193E-3</v>
      </c>
    </row>
    <row r="200" spans="16:20" ht="15" customHeight="1">
      <c r="P200" s="53">
        <v>45670</v>
      </c>
      <c r="Q200" s="41">
        <v>21903.349609375</v>
      </c>
      <c r="R200" s="41">
        <v>5706.51611328125</v>
      </c>
      <c r="S200" s="41">
        <f t="shared" ref="S200:T252" si="5">(Q200-Q199)/Q199</f>
        <v>-2.1335204352563204E-2</v>
      </c>
      <c r="T200" s="41">
        <f t="shared" si="5"/>
        <v>-6.731514278800991E-3</v>
      </c>
    </row>
    <row r="201" spans="16:20" ht="15" customHeight="1">
      <c r="P201" s="53">
        <v>45671</v>
      </c>
      <c r="Q201" s="41">
        <v>22203.900390625</v>
      </c>
      <c r="R201" s="41">
        <v>5963.1474609375</v>
      </c>
      <c r="S201" s="41">
        <f t="shared" si="5"/>
        <v>1.3721681231867807E-2</v>
      </c>
      <c r="T201" s="41">
        <f t="shared" si="5"/>
        <v>4.4971632877539851E-2</v>
      </c>
    </row>
    <row r="202" spans="16:20" ht="15" customHeight="1">
      <c r="P202" s="53">
        <v>45672</v>
      </c>
      <c r="Q202" s="41">
        <v>21972.69921875</v>
      </c>
      <c r="R202" s="41">
        <v>5850.2119140625</v>
      </c>
      <c r="S202" s="41">
        <f t="shared" si="5"/>
        <v>-1.0412637771182691E-2</v>
      </c>
      <c r="T202" s="41">
        <f t="shared" si="5"/>
        <v>-1.8938915667405742E-2</v>
      </c>
    </row>
    <row r="203" spans="16:20" ht="15" customHeight="1">
      <c r="P203" s="53">
        <v>45673</v>
      </c>
      <c r="Q203" s="41">
        <v>21909.75</v>
      </c>
      <c r="R203" s="41">
        <v>5889.23388671875</v>
      </c>
      <c r="S203" s="41">
        <f t="shared" si="5"/>
        <v>-2.8648832864504622E-3</v>
      </c>
      <c r="T203" s="41">
        <f t="shared" si="5"/>
        <v>6.6701810514676538E-3</v>
      </c>
    </row>
    <row r="204" spans="16:20" ht="15" customHeight="1">
      <c r="P204" s="53">
        <v>45674</v>
      </c>
      <c r="Q204" s="41">
        <v>22061.69921875</v>
      </c>
      <c r="R204" s="41">
        <v>5889.23388671875</v>
      </c>
      <c r="S204" s="41">
        <f t="shared" si="5"/>
        <v>6.9352328871849292E-3</v>
      </c>
      <c r="T204" s="41">
        <f t="shared" si="5"/>
        <v>0</v>
      </c>
    </row>
    <row r="205" spans="16:20" ht="15" customHeight="1">
      <c r="P205" s="53">
        <v>45677</v>
      </c>
      <c r="Q205" s="41">
        <v>22182.400390625</v>
      </c>
      <c r="R205" s="41">
        <v>5973.40087890625</v>
      </c>
      <c r="S205" s="41">
        <f t="shared" si="5"/>
        <v>5.4710732241520805E-3</v>
      </c>
      <c r="T205" s="41">
        <f t="shared" si="5"/>
        <v>1.4291670836390324E-2</v>
      </c>
    </row>
    <row r="206" spans="16:20" ht="15" customHeight="1">
      <c r="P206" s="53">
        <v>45678</v>
      </c>
      <c r="Q206" s="41">
        <v>21882.900390625</v>
      </c>
      <c r="R206" s="41">
        <v>5792.5244140625</v>
      </c>
      <c r="S206" s="41">
        <f t="shared" si="5"/>
        <v>-1.3501694799746666E-2</v>
      </c>
      <c r="T206" s="41">
        <f t="shared" si="5"/>
        <v>-3.0280315771619382E-2</v>
      </c>
    </row>
    <row r="207" spans="16:20" ht="15" customHeight="1">
      <c r="P207" s="53">
        <v>45679</v>
      </c>
      <c r="Q207" s="41">
        <v>22034.94921875</v>
      </c>
      <c r="R207" s="41">
        <v>5786.1533203125</v>
      </c>
      <c r="S207" s="41">
        <f t="shared" si="5"/>
        <v>6.9482941205609222E-3</v>
      </c>
      <c r="T207" s="41">
        <f t="shared" si="5"/>
        <v>-1.0998820711973019E-3</v>
      </c>
    </row>
    <row r="208" spans="16:20" ht="15" customHeight="1">
      <c r="P208" s="53">
        <v>45680</v>
      </c>
      <c r="Q208" s="41">
        <v>22343.30078125</v>
      </c>
      <c r="R208" s="41">
        <v>5824.42919921875</v>
      </c>
      <c r="S208" s="41">
        <f t="shared" si="5"/>
        <v>1.3993749631045993E-2</v>
      </c>
      <c r="T208" s="41">
        <f t="shared" si="5"/>
        <v>6.6150820393716748E-3</v>
      </c>
    </row>
    <row r="209" spans="16:20" ht="15" customHeight="1">
      <c r="P209" s="53">
        <v>45681</v>
      </c>
      <c r="Q209" s="41">
        <v>21872.400390625</v>
      </c>
      <c r="R209" s="41">
        <v>5736.4794921875</v>
      </c>
      <c r="S209" s="41">
        <f t="shared" si="5"/>
        <v>-2.1075685962217771E-2</v>
      </c>
      <c r="T209" s="41">
        <f t="shared" si="5"/>
        <v>-1.5100141837597921E-2</v>
      </c>
    </row>
    <row r="210" spans="16:20" ht="15" customHeight="1">
      <c r="P210" s="53">
        <v>45684</v>
      </c>
      <c r="Q210" s="41">
        <v>21292.30078125</v>
      </c>
      <c r="R210" s="41">
        <v>5551.47216796875</v>
      </c>
      <c r="S210" s="41">
        <f t="shared" si="5"/>
        <v>-2.6521991140197106E-2</v>
      </c>
      <c r="T210" s="41">
        <f t="shared" si="5"/>
        <v>-3.2251021636303431E-2</v>
      </c>
    </row>
    <row r="211" spans="16:20" ht="15" customHeight="1">
      <c r="P211" s="53">
        <v>45685</v>
      </c>
      <c r="Q211" s="41">
        <v>20796.599609375</v>
      </c>
      <c r="R211" s="41">
        <v>5385.67724609375</v>
      </c>
      <c r="S211" s="41">
        <f t="shared" si="5"/>
        <v>-2.3280770686440539E-2</v>
      </c>
      <c r="T211" s="41">
        <f t="shared" si="5"/>
        <v>-2.9865037031368807E-2</v>
      </c>
    </row>
    <row r="212" spans="16:20" ht="15" customHeight="1">
      <c r="P212" s="53">
        <v>45686</v>
      </c>
      <c r="Q212" s="41">
        <v>21163.900390625</v>
      </c>
      <c r="R212" s="41">
        <v>5594.67529296875</v>
      </c>
      <c r="S212" s="41">
        <f t="shared" si="5"/>
        <v>1.7661578726765634E-2</v>
      </c>
      <c r="T212" s="41">
        <f t="shared" si="5"/>
        <v>3.8806270284129446E-2</v>
      </c>
    </row>
    <row r="213" spans="16:20" ht="15" customHeight="1">
      <c r="P213" s="53">
        <v>45687</v>
      </c>
      <c r="Q213" s="41">
        <v>21419.650390625</v>
      </c>
      <c r="R213" s="41">
        <v>5709.900390625</v>
      </c>
      <c r="S213" s="41">
        <f t="shared" si="5"/>
        <v>1.2084256459328731E-2</v>
      </c>
      <c r="T213" s="41">
        <f t="shared" si="5"/>
        <v>2.0595493325781044E-2</v>
      </c>
    </row>
    <row r="214" spans="16:20" ht="15" customHeight="1">
      <c r="P214" s="53">
        <v>45688</v>
      </c>
      <c r="Q214" s="41">
        <v>21438.599609375</v>
      </c>
      <c r="R214" s="41">
        <v>5552.41796875</v>
      </c>
      <c r="S214" s="41">
        <f t="shared" si="5"/>
        <v>8.8466517447426389E-4</v>
      </c>
      <c r="T214" s="41">
        <f t="shared" si="5"/>
        <v>-2.7580590045593094E-2</v>
      </c>
    </row>
    <row r="215" spans="16:20" ht="15" customHeight="1">
      <c r="P215" s="53">
        <v>45691</v>
      </c>
      <c r="Q215" s="41">
        <v>21361.599609375</v>
      </c>
      <c r="R215" s="41">
        <v>5857.4287109375</v>
      </c>
      <c r="S215" s="41">
        <f t="shared" si="5"/>
        <v>-3.5916525054336223E-3</v>
      </c>
      <c r="T215" s="41">
        <f t="shared" si="5"/>
        <v>5.4932957840017616E-2</v>
      </c>
    </row>
    <row r="216" spans="16:20" ht="15" customHeight="1">
      <c r="P216" s="53">
        <v>45692</v>
      </c>
      <c r="Q216" s="41">
        <v>21733.94921875</v>
      </c>
      <c r="R216" s="41">
        <v>6068.6171875</v>
      </c>
      <c r="S216" s="41">
        <f t="shared" si="5"/>
        <v>1.7430792458612804E-2</v>
      </c>
      <c r="T216" s="41">
        <f t="shared" si="5"/>
        <v>3.6054809539235282E-2</v>
      </c>
    </row>
    <row r="217" spans="16:20" ht="15" customHeight="1">
      <c r="P217" s="53">
        <v>45693</v>
      </c>
      <c r="Q217" s="41">
        <v>21868.5</v>
      </c>
      <c r="R217" s="41">
        <v>6095.74365234375</v>
      </c>
      <c r="S217" s="41">
        <f t="shared" si="5"/>
        <v>6.1908114303461373E-3</v>
      </c>
      <c r="T217" s="41">
        <f t="shared" si="5"/>
        <v>4.4699581478997354E-3</v>
      </c>
    </row>
    <row r="218" spans="16:20" ht="15" customHeight="1">
      <c r="P218" s="53">
        <v>45694</v>
      </c>
      <c r="Q218" s="41">
        <v>22009.05078125</v>
      </c>
      <c r="R218" s="41">
        <v>6091.9609375</v>
      </c>
      <c r="S218" s="41">
        <f t="shared" si="5"/>
        <v>6.427088334819489E-3</v>
      </c>
      <c r="T218" s="41">
        <f t="shared" si="5"/>
        <v>-6.2055018378202062E-4</v>
      </c>
    </row>
    <row r="219" spans="16:20" ht="15" customHeight="1">
      <c r="P219" s="53">
        <v>45695</v>
      </c>
      <c r="Q219" s="41">
        <v>22077</v>
      </c>
      <c r="R219" s="41">
        <v>6112.71630859375</v>
      </c>
      <c r="S219" s="41">
        <f t="shared" si="5"/>
        <v>3.0873307270428696E-3</v>
      </c>
      <c r="T219" s="41">
        <f t="shared" si="5"/>
        <v>3.4070098785412639E-3</v>
      </c>
    </row>
    <row r="220" spans="16:20" ht="15" customHeight="1">
      <c r="P220" s="53">
        <v>45698</v>
      </c>
      <c r="Q220" s="41">
        <v>21665.650390625</v>
      </c>
      <c r="R220" s="41">
        <v>5911.880859375</v>
      </c>
      <c r="S220" s="41">
        <f t="shared" si="5"/>
        <v>-1.8632495781809123E-2</v>
      </c>
      <c r="T220" s="41">
        <f t="shared" si="5"/>
        <v>-3.2855352527386118E-2</v>
      </c>
    </row>
    <row r="221" spans="16:20" ht="15" customHeight="1">
      <c r="P221" s="53">
        <v>45699</v>
      </c>
      <c r="Q221" s="41">
        <v>21249.5</v>
      </c>
      <c r="R221" s="41">
        <v>5919.794921875</v>
      </c>
      <c r="S221" s="41">
        <f t="shared" si="5"/>
        <v>-1.9207842050524063E-2</v>
      </c>
      <c r="T221" s="41">
        <f t="shared" si="5"/>
        <v>1.3386708372936781E-3</v>
      </c>
    </row>
    <row r="222" spans="16:20" ht="15" customHeight="1">
      <c r="P222" s="53">
        <v>45700</v>
      </c>
      <c r="Q222" s="41">
        <v>21142.05078125</v>
      </c>
      <c r="R222" s="41">
        <v>5942.7900390625</v>
      </c>
      <c r="S222" s="41">
        <f t="shared" si="5"/>
        <v>-5.0565528012423821E-3</v>
      </c>
      <c r="T222" s="41">
        <f t="shared" si="5"/>
        <v>3.8844448990163101E-3</v>
      </c>
    </row>
    <row r="223" spans="16:20" ht="15" customHeight="1">
      <c r="P223" s="53">
        <v>45701</v>
      </c>
      <c r="Q223" s="41">
        <v>21427.099609375</v>
      </c>
      <c r="R223" s="41">
        <v>5983.255859375</v>
      </c>
      <c r="S223" s="41">
        <f t="shared" si="5"/>
        <v>1.3482553375465254E-2</v>
      </c>
      <c r="T223" s="41">
        <f t="shared" si="5"/>
        <v>6.8092293428700119E-3</v>
      </c>
    </row>
    <row r="224" spans="16:20" ht="15" customHeight="1">
      <c r="P224" s="53">
        <v>45702</v>
      </c>
      <c r="Q224" s="41">
        <v>20811.55078125</v>
      </c>
      <c r="R224" s="41">
        <v>5817.26171875</v>
      </c>
      <c r="S224" s="41">
        <f t="shared" si="5"/>
        <v>-2.872758513035889E-2</v>
      </c>
      <c r="T224" s="41">
        <f t="shared" si="5"/>
        <v>-2.7743112533773449E-2</v>
      </c>
    </row>
    <row r="225" spans="16:20" ht="15" customHeight="1">
      <c r="P225" s="53">
        <v>45705</v>
      </c>
      <c r="Q225" s="41">
        <v>21076</v>
      </c>
      <c r="R225" s="41">
        <v>5896.89892578125</v>
      </c>
      <c r="S225" s="41">
        <f t="shared" si="5"/>
        <v>1.2706848304079935E-2</v>
      </c>
      <c r="T225" s="41">
        <f t="shared" si="5"/>
        <v>1.3689809893642237E-2</v>
      </c>
    </row>
    <row r="226" spans="16:20" ht="15" customHeight="1">
      <c r="P226" s="53">
        <v>45706</v>
      </c>
      <c r="Q226" s="41">
        <v>20969.19921875</v>
      </c>
      <c r="R226" s="41">
        <v>5813.23046875</v>
      </c>
      <c r="S226" s="41">
        <f t="shared" si="5"/>
        <v>-5.0674122817422661E-3</v>
      </c>
      <c r="T226" s="41">
        <f t="shared" si="5"/>
        <v>-1.4188551997296645E-2</v>
      </c>
    </row>
    <row r="227" spans="16:20" ht="15" customHeight="1">
      <c r="P227" s="53">
        <v>45707</v>
      </c>
      <c r="Q227" s="41">
        <v>20820</v>
      </c>
      <c r="R227" s="41">
        <v>5907.99853515625</v>
      </c>
      <c r="S227" s="41">
        <f t="shared" si="5"/>
        <v>-7.1151605358678047E-3</v>
      </c>
      <c r="T227" s="41">
        <f t="shared" si="5"/>
        <v>1.6302134745163073E-2</v>
      </c>
    </row>
    <row r="228" spans="16:20" ht="15" customHeight="1">
      <c r="P228" s="53">
        <v>45708</v>
      </c>
      <c r="Q228" s="41">
        <v>20785.75</v>
      </c>
      <c r="R228" s="41">
        <v>5951.20166015625</v>
      </c>
      <c r="S228" s="41">
        <f t="shared" si="5"/>
        <v>-1.6450528338136407E-3</v>
      </c>
      <c r="T228" s="41">
        <f t="shared" si="5"/>
        <v>7.3126499173814365E-3</v>
      </c>
    </row>
    <row r="229" spans="16:20" ht="15" customHeight="1">
      <c r="P229" s="53">
        <v>45709</v>
      </c>
      <c r="Q229" s="41">
        <v>20385.650390625</v>
      </c>
      <c r="R229" s="41">
        <v>5730.95458984375</v>
      </c>
      <c r="S229" s="41">
        <f t="shared" si="5"/>
        <v>-1.9248745384458102E-2</v>
      </c>
      <c r="T229" s="41">
        <f t="shared" si="5"/>
        <v>-3.700884004436801E-2</v>
      </c>
    </row>
    <row r="230" spans="16:20" ht="15" customHeight="1">
      <c r="P230" s="53">
        <v>45712</v>
      </c>
      <c r="Q230" s="41">
        <v>20389.69921875</v>
      </c>
      <c r="R230" s="41">
        <v>5676.70166015625</v>
      </c>
      <c r="S230" s="41">
        <f t="shared" si="5"/>
        <v>1.9861167279028706E-4</v>
      </c>
      <c r="T230" s="41">
        <f t="shared" si="5"/>
        <v>-9.4666479793166815E-3</v>
      </c>
    </row>
    <row r="231" spans="16:20" ht="15" customHeight="1">
      <c r="P231" s="53">
        <v>45713</v>
      </c>
      <c r="Q231" s="41">
        <v>20249.150390625</v>
      </c>
      <c r="R231" s="41">
        <v>5700.443359375</v>
      </c>
      <c r="S231" s="41">
        <f t="shared" si="5"/>
        <v>-6.893129055859433E-3</v>
      </c>
      <c r="T231" s="41">
        <f t="shared" si="5"/>
        <v>4.1823052610618456E-3</v>
      </c>
    </row>
    <row r="232" spans="16:20" ht="15" customHeight="1">
      <c r="P232" s="53">
        <v>45715</v>
      </c>
      <c r="Q232" s="41">
        <v>20201.25</v>
      </c>
      <c r="R232" s="41">
        <v>5590.3447265625</v>
      </c>
      <c r="S232" s="41">
        <f t="shared" si="5"/>
        <v>-2.3655506379752621E-3</v>
      </c>
      <c r="T232" s="41">
        <f t="shared" si="5"/>
        <v>-1.9314047324306943E-2</v>
      </c>
    </row>
    <row r="233" spans="16:20" ht="15" customHeight="1">
      <c r="P233" s="53">
        <v>45716</v>
      </c>
      <c r="Q233" s="41">
        <v>19813.5</v>
      </c>
      <c r="R233" s="41">
        <v>5455.4091796875</v>
      </c>
      <c r="S233" s="41">
        <f t="shared" si="5"/>
        <v>-1.9194356784852422E-2</v>
      </c>
      <c r="T233" s="41">
        <f t="shared" si="5"/>
        <v>-2.4137249753821855E-2</v>
      </c>
    </row>
    <row r="234" spans="16:20" ht="15" customHeight="1">
      <c r="P234" s="53">
        <v>45719</v>
      </c>
      <c r="Q234" s="41">
        <v>19879.80078125</v>
      </c>
      <c r="R234" s="41">
        <v>5515.13720703125</v>
      </c>
      <c r="S234" s="41">
        <f t="shared" si="5"/>
        <v>3.3462427763898354E-3</v>
      </c>
      <c r="T234" s="41">
        <f t="shared" si="5"/>
        <v>1.0948404670751274E-2</v>
      </c>
    </row>
    <row r="235" spans="16:20" ht="15" customHeight="1">
      <c r="P235" s="53">
        <v>45720</v>
      </c>
      <c r="Q235" s="41">
        <v>19820.650390625</v>
      </c>
      <c r="R235" s="41">
        <v>5492.68994140625</v>
      </c>
      <c r="S235" s="41">
        <f t="shared" si="5"/>
        <v>-2.9754015785102223E-3</v>
      </c>
      <c r="T235" s="41">
        <f t="shared" si="5"/>
        <v>-4.0701191615653684E-3</v>
      </c>
    </row>
    <row r="236" spans="16:20" ht="15" customHeight="1">
      <c r="P236" s="53">
        <v>45721</v>
      </c>
      <c r="Q236" s="41">
        <v>20126.80078125</v>
      </c>
      <c r="R236" s="41">
        <v>5491.54443359375</v>
      </c>
      <c r="S236" s="41">
        <f t="shared" si="5"/>
        <v>1.544603151720019E-2</v>
      </c>
      <c r="T236" s="41">
        <f t="shared" si="5"/>
        <v>-2.0855133363066269E-4</v>
      </c>
    </row>
    <row r="237" spans="16:20" ht="15" customHeight="1">
      <c r="P237" s="53">
        <v>45722</v>
      </c>
      <c r="Q237" s="41">
        <v>20423.349609375</v>
      </c>
      <c r="R237" s="41">
        <v>5543.45849609375</v>
      </c>
      <c r="S237" s="41">
        <f t="shared" si="5"/>
        <v>1.4734027098895071E-2</v>
      </c>
      <c r="T237" s="41">
        <f t="shared" si="5"/>
        <v>9.4534539650490725E-3</v>
      </c>
    </row>
    <row r="238" spans="16:20" ht="15" customHeight="1">
      <c r="P238" s="53">
        <v>45723</v>
      </c>
      <c r="Q238" s="41">
        <v>20378.30078125</v>
      </c>
      <c r="R238" s="41">
        <v>5553.462890625</v>
      </c>
      <c r="S238" s="41">
        <f t="shared" si="5"/>
        <v>-2.2057512105811026E-3</v>
      </c>
      <c r="T238" s="41">
        <f t="shared" si="5"/>
        <v>1.8047207421683937E-3</v>
      </c>
    </row>
    <row r="239" spans="16:20" ht="15" customHeight="1">
      <c r="P239" s="53">
        <v>45726</v>
      </c>
      <c r="Q239" s="41">
        <v>20256.55078125</v>
      </c>
      <c r="R239" s="41">
        <v>5489.25537109375</v>
      </c>
      <c r="S239" s="41">
        <f t="shared" si="5"/>
        <v>-5.9744922457922369E-3</v>
      </c>
      <c r="T239" s="41">
        <f t="shared" si="5"/>
        <v>-1.1561708576398523E-2</v>
      </c>
    </row>
    <row r="240" spans="16:20" ht="15" customHeight="1">
      <c r="P240" s="53">
        <v>45727</v>
      </c>
      <c r="Q240" s="41">
        <v>20332.099609375</v>
      </c>
      <c r="R240" s="41">
        <v>5521.1103515625</v>
      </c>
      <c r="S240" s="41">
        <f t="shared" si="5"/>
        <v>3.7295998188857501E-3</v>
      </c>
      <c r="T240" s="41">
        <f t="shared" si="5"/>
        <v>5.8031514869024579E-3</v>
      </c>
    </row>
    <row r="241" spans="16:20" ht="15" customHeight="1">
      <c r="P241" s="53">
        <v>45728</v>
      </c>
      <c r="Q241" s="41">
        <v>20424</v>
      </c>
      <c r="R241" s="41">
        <v>5641.4619140625</v>
      </c>
      <c r="S241" s="41">
        <f t="shared" si="5"/>
        <v>4.5199655908937869E-3</v>
      </c>
      <c r="T241" s="41">
        <f t="shared" si="5"/>
        <v>2.1798434524305414E-2</v>
      </c>
    </row>
    <row r="242" spans="16:20" ht="15" customHeight="1">
      <c r="P242" s="53">
        <v>45729</v>
      </c>
      <c r="Q242" s="41">
        <v>20386.849609375</v>
      </c>
      <c r="R242" s="41">
        <v>5594.97412109375</v>
      </c>
      <c r="S242" s="41">
        <f t="shared" si="5"/>
        <v>-1.8189576295045045E-3</v>
      </c>
      <c r="T242" s="41">
        <f t="shared" si="5"/>
        <v>-8.2403805391062998E-3</v>
      </c>
    </row>
    <row r="243" spans="16:20" ht="15" customHeight="1">
      <c r="P243" s="53">
        <v>45733</v>
      </c>
      <c r="Q243" s="41">
        <v>20703.94921875</v>
      </c>
      <c r="R243" s="41">
        <v>5645.1455078125</v>
      </c>
      <c r="S243" s="41">
        <f t="shared" si="5"/>
        <v>1.5554125107646847E-2</v>
      </c>
      <c r="T243" s="41">
        <f t="shared" si="5"/>
        <v>8.9672240894908915E-3</v>
      </c>
    </row>
    <row r="244" spans="16:20" ht="15" customHeight="1">
      <c r="P244" s="53">
        <v>45734</v>
      </c>
      <c r="Q244" s="41">
        <v>21041.30078125</v>
      </c>
      <c r="R244" s="41">
        <v>5645.1455078125</v>
      </c>
      <c r="S244" s="41">
        <f t="shared" si="5"/>
        <v>1.6294068292752872E-2</v>
      </c>
      <c r="T244" s="41">
        <f t="shared" si="5"/>
        <v>0</v>
      </c>
    </row>
    <row r="245" spans="16:20" ht="15" customHeight="1">
      <c r="P245" s="53">
        <v>45735</v>
      </c>
      <c r="Q245" s="41">
        <v>21145.650390625</v>
      </c>
      <c r="R245" s="41">
        <v>5791.72802734375</v>
      </c>
      <c r="S245" s="41">
        <f t="shared" si="5"/>
        <v>4.9592755913639344E-3</v>
      </c>
      <c r="T245" s="41">
        <f t="shared" si="5"/>
        <v>2.5966118911973073E-2</v>
      </c>
    </row>
    <row r="246" spans="16:20" ht="15" customHeight="1">
      <c r="P246" s="53">
        <v>45736</v>
      </c>
      <c r="Q246" s="41">
        <v>21340.599609375</v>
      </c>
      <c r="R246" s="41">
        <v>5795.7099609375</v>
      </c>
      <c r="S246" s="41">
        <f t="shared" si="5"/>
        <v>9.2193531600442725E-3</v>
      </c>
      <c r="T246" s="41">
        <f t="shared" si="5"/>
        <v>6.875208184760408E-4</v>
      </c>
    </row>
    <row r="247" spans="16:20" ht="15" customHeight="1">
      <c r="P247" s="53">
        <v>45737</v>
      </c>
      <c r="Q247" s="41">
        <v>21625.900390625</v>
      </c>
      <c r="R247" s="41">
        <v>5771.072265625</v>
      </c>
      <c r="S247" s="41">
        <f t="shared" si="5"/>
        <v>1.3368920577314349E-2</v>
      </c>
      <c r="T247" s="41">
        <f t="shared" si="5"/>
        <v>-4.2510228218036409E-3</v>
      </c>
    </row>
    <row r="248" spans="16:20" ht="15" customHeight="1">
      <c r="P248" s="53">
        <v>45740</v>
      </c>
      <c r="Q248" s="41">
        <v>21771.150390625</v>
      </c>
      <c r="R248" s="41">
        <v>5883.908203125</v>
      </c>
      <c r="S248" s="41">
        <f t="shared" si="5"/>
        <v>6.7164833545135085E-3</v>
      </c>
      <c r="T248" s="41">
        <f t="shared" si="5"/>
        <v>1.9551988314563239E-2</v>
      </c>
    </row>
    <row r="249" spans="16:20" ht="15" customHeight="1">
      <c r="P249" s="53">
        <v>45741</v>
      </c>
      <c r="Q249" s="41">
        <v>21542.5</v>
      </c>
      <c r="R249" s="41">
        <v>5814.17578125</v>
      </c>
      <c r="S249" s="41">
        <f t="shared" si="5"/>
        <v>-1.0502448723309563E-2</v>
      </c>
      <c r="T249" s="41">
        <f t="shared" si="5"/>
        <v>-1.1851378279145218E-2</v>
      </c>
    </row>
    <row r="250" spans="16:20" ht="15" customHeight="1">
      <c r="P250" s="53">
        <v>45742</v>
      </c>
      <c r="Q250" s="41">
        <v>21360.599609375</v>
      </c>
      <c r="R250" s="41">
        <v>5812.732421875</v>
      </c>
      <c r="S250" s="41">
        <f t="shared" si="5"/>
        <v>-8.4437920680051053E-3</v>
      </c>
      <c r="T250" s="41">
        <f t="shared" si="5"/>
        <v>-2.4824832088060633E-4</v>
      </c>
    </row>
    <row r="251" spans="16:20" ht="15" customHeight="1">
      <c r="P251" s="53">
        <v>45743</v>
      </c>
      <c r="Q251" s="41">
        <v>21275.150390625</v>
      </c>
      <c r="R251" s="41">
        <v>5846.03076171875</v>
      </c>
      <c r="S251" s="41">
        <f t="shared" si="5"/>
        <v>-4.0003192940565677E-3</v>
      </c>
      <c r="T251" s="41">
        <f t="shared" si="5"/>
        <v>5.7285175760781069E-3</v>
      </c>
    </row>
    <row r="252" spans="16:20" ht="15" customHeight="1">
      <c r="P252" s="53">
        <v>45744</v>
      </c>
      <c r="Q252" s="41">
        <v>21137.44921875</v>
      </c>
      <c r="R252" s="41">
        <v>5749.271484375</v>
      </c>
      <c r="S252" s="41">
        <f t="shared" si="5"/>
        <v>-6.4723947585197186E-3</v>
      </c>
      <c r="T252" s="41">
        <f t="shared" si="5"/>
        <v>-1.6551277488540361E-2</v>
      </c>
    </row>
  </sheetData>
  <mergeCells count="2">
    <mergeCell ref="C2:F2"/>
    <mergeCell ref="P2:T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8EC17-E8C4-4F41-AA2A-678C9435F808}">
  <dimension ref="A2:I252"/>
  <sheetViews>
    <sheetView workbookViewId="0">
      <selection sqref="A1:J1048576"/>
    </sheetView>
  </sheetViews>
  <sheetFormatPr defaultRowHeight="14.4"/>
  <cols>
    <col min="1" max="1" width="10.33203125" bestFit="1" customWidth="1"/>
    <col min="2" max="2" width="12.6640625" bestFit="1" customWidth="1"/>
    <col min="3" max="3" width="15.6640625" bestFit="1" customWidth="1"/>
    <col min="8" max="8" width="25.6640625" bestFit="1" customWidth="1"/>
    <col min="9" max="9" width="15.6640625" bestFit="1" customWidth="1"/>
  </cols>
  <sheetData>
    <row r="2" spans="1:9">
      <c r="C2" t="s">
        <v>160</v>
      </c>
    </row>
    <row r="3" spans="1:9">
      <c r="A3" t="s">
        <v>1</v>
      </c>
      <c r="B3" t="s">
        <v>2</v>
      </c>
      <c r="C3" t="s">
        <v>2</v>
      </c>
      <c r="D3" t="s">
        <v>3</v>
      </c>
      <c r="E3" t="s">
        <v>3</v>
      </c>
      <c r="H3" t="s">
        <v>4</v>
      </c>
      <c r="I3" t="s">
        <v>161</v>
      </c>
    </row>
    <row r="4" spans="1:9">
      <c r="A4" t="s">
        <v>6</v>
      </c>
      <c r="B4" t="s">
        <v>7</v>
      </c>
      <c r="C4" t="s">
        <v>160</v>
      </c>
      <c r="D4" t="s">
        <v>8</v>
      </c>
      <c r="E4" t="s">
        <v>9</v>
      </c>
      <c r="H4">
        <f>_xlfn.COVARIANCE.S(D7:D252,E7:E252)</f>
        <v>8.4229258959745706E-5</v>
      </c>
      <c r="I4">
        <f>_xlfn.VAR.S(D7:D252)</f>
        <v>1.0123143075821166E-4</v>
      </c>
    </row>
    <row r="5" spans="1:9">
      <c r="A5" t="s">
        <v>10</v>
      </c>
    </row>
    <row r="6" spans="1:9">
      <c r="A6" s="2">
        <v>45383</v>
      </c>
      <c r="B6">
        <v>19207.900390625</v>
      </c>
      <c r="C6">
        <v>2626.03491210937</v>
      </c>
      <c r="H6" t="s">
        <v>11</v>
      </c>
    </row>
    <row r="7" spans="1:9">
      <c r="A7" s="2">
        <v>45384</v>
      </c>
      <c r="B7">
        <v>19185.150390625</v>
      </c>
      <c r="C7">
        <v>2619.36010742187</v>
      </c>
      <c r="D7">
        <f>(B7-B6)/B6</f>
        <v>-1.1844084744995777E-3</v>
      </c>
      <c r="E7">
        <f>(C7-C6)/C6</f>
        <v>-2.5417806354061166E-3</v>
      </c>
      <c r="H7">
        <f>H4/I4</f>
        <v>0.8320465129147967</v>
      </c>
    </row>
    <row r="8" spans="1:9">
      <c r="A8" s="2">
        <v>45385</v>
      </c>
      <c r="B8">
        <v>19153.05078125</v>
      </c>
      <c r="C8">
        <v>2540.9326171875</v>
      </c>
      <c r="D8">
        <f t="shared" ref="D8:D71" si="0">(B8-B7)/B7</f>
        <v>-1.6731486968528414E-3</v>
      </c>
      <c r="E8">
        <f t="shared" ref="E8:E71" si="1">(C8-C7)/C7</f>
        <v>-2.9941469297080726E-2</v>
      </c>
    </row>
    <row r="9" spans="1:9">
      <c r="A9" s="2">
        <v>45386</v>
      </c>
      <c r="B9">
        <v>19125.19921875</v>
      </c>
      <c r="C9">
        <v>2490.77490234375</v>
      </c>
      <c r="D9">
        <f t="shared" si="0"/>
        <v>-1.4541580251677432E-3</v>
      </c>
      <c r="E9">
        <f t="shared" si="1"/>
        <v>-1.9739883893209426E-2</v>
      </c>
      <c r="H9" t="s">
        <v>12</v>
      </c>
    </row>
    <row r="10" spans="1:9">
      <c r="A10" s="2">
        <v>45387</v>
      </c>
      <c r="B10">
        <v>19160.75</v>
      </c>
      <c r="C10">
        <v>2529.59594726562</v>
      </c>
      <c r="D10">
        <f t="shared" si="0"/>
        <v>1.8588450161160495E-3</v>
      </c>
      <c r="E10">
        <f t="shared" si="1"/>
        <v>1.5585930661715144E-2</v>
      </c>
      <c r="H10">
        <f>AVERAGE(D7:D252)</f>
        <v>4.3962859287504746E-4</v>
      </c>
    </row>
    <row r="11" spans="1:9">
      <c r="A11" s="2">
        <v>45390</v>
      </c>
      <c r="B11">
        <v>19218.849609375</v>
      </c>
      <c r="C11">
        <v>2549.42358398437</v>
      </c>
      <c r="D11">
        <f t="shared" si="0"/>
        <v>3.0322200005219002E-3</v>
      </c>
      <c r="E11">
        <f t="shared" si="1"/>
        <v>7.8382623676254651E-3</v>
      </c>
    </row>
    <row r="12" spans="1:9">
      <c r="A12" s="2">
        <v>45391</v>
      </c>
      <c r="B12">
        <v>19182.30078125</v>
      </c>
      <c r="C12">
        <v>2530.57739257812</v>
      </c>
      <c r="D12">
        <f t="shared" si="0"/>
        <v>-1.901717785812289E-3</v>
      </c>
      <c r="E12">
        <f t="shared" si="1"/>
        <v>-7.392334300444575E-3</v>
      </c>
    </row>
    <row r="13" spans="1:9">
      <c r="A13" s="2">
        <v>45392</v>
      </c>
      <c r="B13">
        <v>19117</v>
      </c>
      <c r="C13">
        <v>2531.41186523437</v>
      </c>
      <c r="D13">
        <f t="shared" si="0"/>
        <v>-3.4042204840114454E-3</v>
      </c>
      <c r="E13">
        <f t="shared" si="1"/>
        <v>3.29755833074858E-4</v>
      </c>
    </row>
    <row r="14" spans="1:9">
      <c r="A14" s="2">
        <v>45394</v>
      </c>
      <c r="B14">
        <v>18788.650390625</v>
      </c>
      <c r="C14">
        <v>2530.1845703125</v>
      </c>
      <c r="D14">
        <f t="shared" si="0"/>
        <v>-1.717579167102579E-2</v>
      </c>
      <c r="E14">
        <f t="shared" si="1"/>
        <v>-4.8482625001695212E-4</v>
      </c>
    </row>
    <row r="15" spans="1:9">
      <c r="A15" s="2">
        <v>45397</v>
      </c>
      <c r="B15">
        <v>18617.650390625</v>
      </c>
      <c r="C15">
        <v>2473.4013671875</v>
      </c>
      <c r="D15">
        <f t="shared" si="0"/>
        <v>-9.1012391228123615E-3</v>
      </c>
      <c r="E15">
        <f t="shared" si="1"/>
        <v>-2.2442316576923388E-2</v>
      </c>
    </row>
    <row r="16" spans="1:9">
      <c r="A16" s="2">
        <v>45398</v>
      </c>
      <c r="B16">
        <v>18695.599609375</v>
      </c>
      <c r="C16">
        <v>2490.82397460937</v>
      </c>
      <c r="D16">
        <f t="shared" si="0"/>
        <v>4.1868451235528448E-3</v>
      </c>
      <c r="E16">
        <f t="shared" si="1"/>
        <v>7.0439871397343047E-3</v>
      </c>
    </row>
    <row r="17" spans="1:5">
      <c r="A17" s="2">
        <v>45400</v>
      </c>
      <c r="B17">
        <v>18525.75</v>
      </c>
      <c r="C17">
        <v>2499.90356445312</v>
      </c>
      <c r="D17">
        <f t="shared" si="0"/>
        <v>-9.0850046494271343E-3</v>
      </c>
      <c r="E17">
        <f t="shared" si="1"/>
        <v>3.6452153730268839E-3</v>
      </c>
    </row>
    <row r="18" spans="1:5">
      <c r="A18" s="2">
        <v>45401</v>
      </c>
      <c r="B18">
        <v>18404.599609375</v>
      </c>
      <c r="C18">
        <v>2492.5908203125</v>
      </c>
      <c r="D18">
        <f t="shared" si="0"/>
        <v>-6.5395673926831573E-3</v>
      </c>
      <c r="E18">
        <f t="shared" si="1"/>
        <v>-2.9252104939574888E-3</v>
      </c>
    </row>
    <row r="19" spans="1:5">
      <c r="A19" s="2">
        <v>45404</v>
      </c>
      <c r="B19">
        <v>18643</v>
      </c>
      <c r="C19">
        <v>2544.123046875</v>
      </c>
      <c r="D19">
        <f t="shared" si="0"/>
        <v>1.2953304917514357E-2</v>
      </c>
      <c r="E19">
        <f t="shared" si="1"/>
        <v>2.0674162057629387E-2</v>
      </c>
    </row>
    <row r="20" spans="1:5">
      <c r="A20" s="2">
        <v>45405</v>
      </c>
      <c r="B20">
        <v>18463.75</v>
      </c>
      <c r="C20">
        <v>2588.78393554687</v>
      </c>
      <c r="D20">
        <f t="shared" si="0"/>
        <v>-9.6148688515796821E-3</v>
      </c>
      <c r="E20">
        <f t="shared" si="1"/>
        <v>1.7554531698743072E-2</v>
      </c>
    </row>
    <row r="21" spans="1:5">
      <c r="A21" s="2">
        <v>45406</v>
      </c>
      <c r="B21">
        <v>18586.19921875</v>
      </c>
      <c r="C21">
        <v>2636.92993164062</v>
      </c>
      <c r="D21">
        <f t="shared" si="0"/>
        <v>6.6318715726761896E-3</v>
      </c>
      <c r="E21">
        <f t="shared" si="1"/>
        <v>1.8597919831258285E-2</v>
      </c>
    </row>
    <row r="22" spans="1:5">
      <c r="A22" s="2">
        <v>45407</v>
      </c>
      <c r="B22">
        <v>18878.150390625</v>
      </c>
      <c r="C22">
        <v>2644.63549804687</v>
      </c>
      <c r="D22">
        <f t="shared" si="0"/>
        <v>1.5707954511779677E-2</v>
      </c>
      <c r="E22">
        <f t="shared" si="1"/>
        <v>2.9221733629667679E-3</v>
      </c>
    </row>
    <row r="23" spans="1:5">
      <c r="A23" s="2">
        <v>45408</v>
      </c>
      <c r="B23">
        <v>18994.650390625</v>
      </c>
      <c r="C23">
        <v>2641.396484375</v>
      </c>
      <c r="D23">
        <f t="shared" si="0"/>
        <v>6.1711554145608772E-3</v>
      </c>
      <c r="E23">
        <f t="shared" si="1"/>
        <v>-1.2247486181978919E-3</v>
      </c>
    </row>
    <row r="24" spans="1:5">
      <c r="A24" s="2">
        <v>45411</v>
      </c>
      <c r="B24">
        <v>19096.900390625</v>
      </c>
      <c r="C24">
        <v>2637.91162109375</v>
      </c>
      <c r="D24">
        <f t="shared" si="0"/>
        <v>5.3830946028080888E-3</v>
      </c>
      <c r="E24">
        <f t="shared" si="1"/>
        <v>-1.3193260844649678E-3</v>
      </c>
    </row>
    <row r="25" spans="1:5">
      <c r="A25" s="2">
        <v>45412</v>
      </c>
      <c r="B25">
        <v>18970.599609375</v>
      </c>
      <c r="C25">
        <v>2593.83959960937</v>
      </c>
      <c r="D25">
        <f t="shared" si="0"/>
        <v>-6.6136796373511613E-3</v>
      </c>
      <c r="E25">
        <f t="shared" si="1"/>
        <v>-1.6707163777574377E-2</v>
      </c>
    </row>
    <row r="26" spans="1:5">
      <c r="A26" s="2">
        <v>45414</v>
      </c>
      <c r="B26">
        <v>19124.44921875</v>
      </c>
      <c r="C26">
        <v>2620.78344726562</v>
      </c>
      <c r="D26">
        <f t="shared" si="0"/>
        <v>8.1098970271329604E-3</v>
      </c>
      <c r="E26">
        <f t="shared" si="1"/>
        <v>1.03876306230762E-2</v>
      </c>
    </row>
    <row r="27" spans="1:5">
      <c r="A27" s="2">
        <v>45415</v>
      </c>
      <c r="B27">
        <v>19133.400390625</v>
      </c>
      <c r="C27">
        <v>2684.29052734375</v>
      </c>
      <c r="D27">
        <f t="shared" si="0"/>
        <v>4.6804861006005281E-4</v>
      </c>
      <c r="E27">
        <f t="shared" si="1"/>
        <v>2.4232097521979454E-2</v>
      </c>
    </row>
    <row r="28" spans="1:5">
      <c r="A28" s="2">
        <v>45418</v>
      </c>
      <c r="B28">
        <v>19203.30078125</v>
      </c>
      <c r="C28">
        <v>2667.11328125</v>
      </c>
      <c r="D28">
        <f t="shared" si="0"/>
        <v>3.6533177165544422E-3</v>
      </c>
      <c r="E28">
        <f t="shared" si="1"/>
        <v>-6.3991754688147743E-3</v>
      </c>
    </row>
    <row r="29" spans="1:5">
      <c r="A29" s="2">
        <v>45419</v>
      </c>
      <c r="B29">
        <v>18846.30078125</v>
      </c>
      <c r="C29">
        <v>2571.06713867187</v>
      </c>
      <c r="D29">
        <f t="shared" si="0"/>
        <v>-1.8590553992081031E-2</v>
      </c>
      <c r="E29">
        <f t="shared" si="1"/>
        <v>-3.6011272282036669E-2</v>
      </c>
    </row>
    <row r="30" spans="1:5">
      <c r="A30" s="2">
        <v>45420</v>
      </c>
      <c r="B30">
        <v>18850.849609375</v>
      </c>
      <c r="C30">
        <v>2539.85327148437</v>
      </c>
      <c r="D30">
        <f t="shared" si="0"/>
        <v>2.4136450849418601E-4</v>
      </c>
      <c r="E30">
        <f t="shared" si="1"/>
        <v>-1.2140432553474302E-2</v>
      </c>
    </row>
    <row r="31" spans="1:5">
      <c r="A31" s="2">
        <v>45421</v>
      </c>
      <c r="B31">
        <v>18437.05078125</v>
      </c>
      <c r="C31">
        <v>2477.818359375</v>
      </c>
      <c r="D31">
        <f t="shared" si="0"/>
        <v>-2.1951203086316463E-2</v>
      </c>
      <c r="E31">
        <f t="shared" si="1"/>
        <v>-2.4424604683212604E-2</v>
      </c>
    </row>
    <row r="32" spans="1:5">
      <c r="A32" s="2">
        <v>45422</v>
      </c>
      <c r="B32">
        <v>18609.44921875</v>
      </c>
      <c r="C32">
        <v>2551.97534179687</v>
      </c>
      <c r="D32">
        <f t="shared" si="0"/>
        <v>9.3506515518916242E-3</v>
      </c>
      <c r="E32">
        <f t="shared" si="1"/>
        <v>2.9928336813427762E-2</v>
      </c>
    </row>
    <row r="33" spans="1:5">
      <c r="A33" s="2">
        <v>45425</v>
      </c>
      <c r="B33">
        <v>18939</v>
      </c>
      <c r="C33">
        <v>2556.5888671875</v>
      </c>
      <c r="D33">
        <f t="shared" si="0"/>
        <v>1.7708787475448774E-2</v>
      </c>
      <c r="E33">
        <f t="shared" si="1"/>
        <v>1.8078252227082944E-3</v>
      </c>
    </row>
    <row r="34" spans="1:5">
      <c r="A34" s="2">
        <v>45426</v>
      </c>
      <c r="B34">
        <v>18860.849609375</v>
      </c>
      <c r="C34">
        <v>2582.15869140625</v>
      </c>
      <c r="D34">
        <f t="shared" si="0"/>
        <v>-4.1264264546702571E-3</v>
      </c>
      <c r="E34">
        <f t="shared" si="1"/>
        <v>1.0001539374173732E-2</v>
      </c>
    </row>
    <row r="35" spans="1:5">
      <c r="A35" s="2">
        <v>45427</v>
      </c>
      <c r="B35">
        <v>18886.55078125</v>
      </c>
      <c r="C35">
        <v>2600.12158203125</v>
      </c>
      <c r="D35">
        <f t="shared" si="0"/>
        <v>1.3626730718548829E-3</v>
      </c>
      <c r="E35">
        <f t="shared" si="1"/>
        <v>6.9565401556390656E-3</v>
      </c>
    </row>
    <row r="36" spans="1:5">
      <c r="A36" s="2">
        <v>45428</v>
      </c>
      <c r="B36">
        <v>18996.150390625</v>
      </c>
      <c r="C36">
        <v>2650.18139648437</v>
      </c>
      <c r="D36">
        <f t="shared" si="0"/>
        <v>5.8030505752171115E-3</v>
      </c>
      <c r="E36">
        <f t="shared" si="1"/>
        <v>1.925287448058971E-2</v>
      </c>
    </row>
    <row r="37" spans="1:5">
      <c r="A37" s="2">
        <v>45429</v>
      </c>
      <c r="B37">
        <v>18981.599609375</v>
      </c>
      <c r="C37">
        <v>2648.9541015625</v>
      </c>
      <c r="D37">
        <f t="shared" si="0"/>
        <v>-7.6598578926713055E-4</v>
      </c>
      <c r="E37">
        <f t="shared" si="1"/>
        <v>-4.6309845941039379E-4</v>
      </c>
    </row>
    <row r="38" spans="1:5">
      <c r="A38" s="2">
        <v>45433</v>
      </c>
      <c r="B38">
        <v>19205.19921875</v>
      </c>
      <c r="C38">
        <v>2632.267578125</v>
      </c>
      <c r="D38">
        <f t="shared" si="0"/>
        <v>1.17798085502006E-2</v>
      </c>
      <c r="E38">
        <f t="shared" si="1"/>
        <v>-6.2992874914885701E-3</v>
      </c>
    </row>
    <row r="39" spans="1:5">
      <c r="A39" s="2">
        <v>45434</v>
      </c>
      <c r="B39">
        <v>19317.400390625</v>
      </c>
      <c r="C39">
        <v>2614.6484375</v>
      </c>
      <c r="D39">
        <f t="shared" si="0"/>
        <v>5.842229002522307E-3</v>
      </c>
      <c r="E39">
        <f t="shared" si="1"/>
        <v>-6.6935218787864846E-3</v>
      </c>
    </row>
    <row r="40" spans="1:5">
      <c r="A40" s="2">
        <v>45435</v>
      </c>
      <c r="B40">
        <v>19216.349609375</v>
      </c>
      <c r="C40">
        <v>2643.26123046875</v>
      </c>
      <c r="D40">
        <f t="shared" si="0"/>
        <v>-5.2310755695182121E-3</v>
      </c>
      <c r="E40">
        <f t="shared" si="1"/>
        <v>1.0943265854933892E-2</v>
      </c>
    </row>
    <row r="41" spans="1:5">
      <c r="A41" s="2">
        <v>45436</v>
      </c>
      <c r="B41">
        <v>19119.5</v>
      </c>
      <c r="C41">
        <v>2564.39233398437</v>
      </c>
      <c r="D41">
        <f t="shared" si="0"/>
        <v>-5.0399587509456214E-3</v>
      </c>
      <c r="E41">
        <f t="shared" si="1"/>
        <v>-2.98377230276228E-2</v>
      </c>
    </row>
    <row r="42" spans="1:5">
      <c r="A42" s="2">
        <v>45439</v>
      </c>
      <c r="B42">
        <v>19111.94921875</v>
      </c>
      <c r="C42">
        <v>2606.30517578125</v>
      </c>
      <c r="D42">
        <f t="shared" si="0"/>
        <v>-3.9492566489709459E-4</v>
      </c>
      <c r="E42">
        <f t="shared" si="1"/>
        <v>1.6344161242971281E-2</v>
      </c>
    </row>
    <row r="43" spans="1:5">
      <c r="A43" s="2">
        <v>45440</v>
      </c>
      <c r="B43">
        <v>19215.75</v>
      </c>
      <c r="C43">
        <v>2617.5439453125</v>
      </c>
      <c r="D43">
        <f t="shared" si="0"/>
        <v>5.4311980458887485E-3</v>
      </c>
      <c r="E43">
        <f t="shared" si="1"/>
        <v>4.3121464192623317E-3</v>
      </c>
    </row>
    <row r="44" spans="1:5">
      <c r="A44" s="2">
        <v>45441</v>
      </c>
      <c r="B44">
        <v>19321.349609375</v>
      </c>
      <c r="C44">
        <v>2664.16870117187</v>
      </c>
      <c r="D44">
        <f t="shared" si="0"/>
        <v>5.4954716508593213E-3</v>
      </c>
      <c r="E44">
        <f t="shared" si="1"/>
        <v>1.7812406146175942E-2</v>
      </c>
    </row>
    <row r="45" spans="1:5">
      <c r="A45" s="2">
        <v>45442</v>
      </c>
      <c r="B45">
        <v>18971</v>
      </c>
      <c r="C45">
        <v>2609.05346679687</v>
      </c>
      <c r="D45">
        <f t="shared" si="0"/>
        <v>-1.8132771077492706E-2</v>
      </c>
      <c r="E45">
        <f t="shared" si="1"/>
        <v>-2.068759172448683E-2</v>
      </c>
    </row>
    <row r="46" spans="1:5">
      <c r="A46" s="2">
        <v>45443</v>
      </c>
      <c r="B46">
        <v>18796.30078125</v>
      </c>
      <c r="C46">
        <v>2646.35327148437</v>
      </c>
      <c r="D46">
        <f t="shared" si="0"/>
        <v>-9.2087511860207694E-3</v>
      </c>
      <c r="E46">
        <f t="shared" si="1"/>
        <v>1.429629755088649E-2</v>
      </c>
    </row>
    <row r="47" spans="1:5">
      <c r="A47" s="2">
        <v>45446</v>
      </c>
      <c r="B47">
        <v>18864.150390625</v>
      </c>
      <c r="C47">
        <v>2628.58666992187</v>
      </c>
      <c r="D47">
        <f t="shared" si="0"/>
        <v>3.6097320512492796E-3</v>
      </c>
      <c r="E47">
        <f t="shared" si="1"/>
        <v>-6.7136167169905133E-3</v>
      </c>
    </row>
    <row r="48" spans="1:5">
      <c r="A48" s="2">
        <v>45447</v>
      </c>
      <c r="B48">
        <v>18603.150390625</v>
      </c>
      <c r="C48">
        <v>2644.34106445312</v>
      </c>
      <c r="D48">
        <f t="shared" si="0"/>
        <v>-1.3835767558856524E-2</v>
      </c>
      <c r="E48">
        <f t="shared" si="1"/>
        <v>5.9934849063653936E-3</v>
      </c>
    </row>
    <row r="49" spans="1:5">
      <c r="A49" s="2">
        <v>45448</v>
      </c>
      <c r="B49">
        <v>19281.25</v>
      </c>
      <c r="C49">
        <v>2729.14819335937</v>
      </c>
      <c r="D49">
        <f t="shared" si="0"/>
        <v>3.6450794362052043E-2</v>
      </c>
      <c r="E49">
        <f t="shared" si="1"/>
        <v>3.2071176462930694E-2</v>
      </c>
    </row>
    <row r="50" spans="1:5">
      <c r="A50" s="2">
        <v>45449</v>
      </c>
      <c r="B50">
        <v>19232.099609375</v>
      </c>
      <c r="C50">
        <v>2730.71899414062</v>
      </c>
      <c r="D50">
        <f t="shared" si="0"/>
        <v>-2.5491288492706645E-3</v>
      </c>
      <c r="E50">
        <f t="shared" si="1"/>
        <v>5.7556448751009965E-4</v>
      </c>
    </row>
    <row r="51" spans="1:5">
      <c r="A51" s="2">
        <v>45450</v>
      </c>
      <c r="B51">
        <v>19578</v>
      </c>
      <c r="C51">
        <v>2792.50854492187</v>
      </c>
      <c r="D51">
        <f t="shared" si="0"/>
        <v>1.7985576075967558E-2</v>
      </c>
      <c r="E51">
        <f t="shared" si="1"/>
        <v>2.2627575709486609E-2</v>
      </c>
    </row>
    <row r="52" spans="1:5">
      <c r="A52" s="2">
        <v>45453</v>
      </c>
      <c r="B52">
        <v>19774.69921875</v>
      </c>
      <c r="C52">
        <v>2811.158203125</v>
      </c>
      <c r="D52">
        <f t="shared" si="0"/>
        <v>1.0046951616610482E-2</v>
      </c>
      <c r="E52">
        <f t="shared" si="1"/>
        <v>6.6784605680237199E-3</v>
      </c>
    </row>
    <row r="53" spans="1:5">
      <c r="A53" s="2">
        <v>45454</v>
      </c>
      <c r="B53">
        <v>19689.69921875</v>
      </c>
      <c r="C53">
        <v>2798.44702148437</v>
      </c>
      <c r="D53">
        <f t="shared" si="0"/>
        <v>-4.2984218905036285E-3</v>
      </c>
      <c r="E53">
        <f t="shared" si="1"/>
        <v>-4.5216884722103952E-3</v>
      </c>
    </row>
    <row r="54" spans="1:5">
      <c r="A54" s="2">
        <v>45455</v>
      </c>
      <c r="B54">
        <v>19739.099609375</v>
      </c>
      <c r="C54">
        <v>2840.16357421875</v>
      </c>
      <c r="D54">
        <f t="shared" si="0"/>
        <v>2.5089459252865204E-3</v>
      </c>
      <c r="E54">
        <f t="shared" si="1"/>
        <v>1.4907036800808343E-2</v>
      </c>
    </row>
    <row r="55" spans="1:5">
      <c r="A55" s="2">
        <v>45456</v>
      </c>
      <c r="B55">
        <v>19838.5</v>
      </c>
      <c r="C55">
        <v>2821.90649414062</v>
      </c>
      <c r="D55">
        <f t="shared" si="0"/>
        <v>5.0357104727203573E-3</v>
      </c>
      <c r="E55">
        <f t="shared" si="1"/>
        <v>-6.4281790823093763E-3</v>
      </c>
    </row>
    <row r="56" spans="1:5">
      <c r="A56" s="2">
        <v>45457</v>
      </c>
      <c r="B56">
        <v>19895.650390625</v>
      </c>
      <c r="C56">
        <v>2828.97387695312</v>
      </c>
      <c r="D56">
        <f t="shared" si="0"/>
        <v>2.8807818446455126E-3</v>
      </c>
      <c r="E56">
        <f t="shared" si="1"/>
        <v>2.5044709408956842E-3</v>
      </c>
    </row>
    <row r="57" spans="1:5">
      <c r="A57" s="2">
        <v>45461</v>
      </c>
      <c r="B57">
        <v>19826.650390625</v>
      </c>
      <c r="C57">
        <v>2833.63623046875</v>
      </c>
      <c r="D57">
        <f t="shared" si="0"/>
        <v>-3.4680947164468364E-3</v>
      </c>
      <c r="E57">
        <f t="shared" si="1"/>
        <v>1.6480723111701127E-3</v>
      </c>
    </row>
    <row r="58" spans="1:5">
      <c r="A58" s="2">
        <v>45462</v>
      </c>
      <c r="B58">
        <v>19644.5</v>
      </c>
      <c r="C58">
        <v>2832.36010742187</v>
      </c>
      <c r="D58">
        <f t="shared" si="0"/>
        <v>-9.1871489654717226E-3</v>
      </c>
      <c r="E58">
        <f t="shared" si="1"/>
        <v>-4.5034822506800795E-4</v>
      </c>
    </row>
    <row r="59" spans="1:5">
      <c r="A59" s="2">
        <v>45463</v>
      </c>
      <c r="B59">
        <v>19544.55078125</v>
      </c>
      <c r="C59">
        <v>2805.41625976562</v>
      </c>
      <c r="D59">
        <f t="shared" si="0"/>
        <v>-5.0878983303214642E-3</v>
      </c>
      <c r="E59">
        <f t="shared" si="1"/>
        <v>-9.5128608772757327E-3</v>
      </c>
    </row>
    <row r="60" spans="1:5">
      <c r="A60" s="2">
        <v>45464</v>
      </c>
      <c r="B60">
        <v>19528.400390625</v>
      </c>
      <c r="C60">
        <v>2784.90747070312</v>
      </c>
      <c r="D60">
        <f t="shared" si="0"/>
        <v>-8.2633726432299601E-4</v>
      </c>
      <c r="E60">
        <f t="shared" si="1"/>
        <v>-7.3104263907750426E-3</v>
      </c>
    </row>
    <row r="61" spans="1:5">
      <c r="A61" s="2">
        <v>45467</v>
      </c>
      <c r="B61">
        <v>19521.150390625</v>
      </c>
      <c r="C61">
        <v>2793.95654296875</v>
      </c>
      <c r="D61">
        <f t="shared" si="0"/>
        <v>-3.7125416598281691E-4</v>
      </c>
      <c r="E61">
        <f t="shared" si="1"/>
        <v>3.2493260048404179E-3</v>
      </c>
    </row>
    <row r="62" spans="1:5">
      <c r="A62" s="2">
        <v>45468</v>
      </c>
      <c r="B62">
        <v>19532.30078125</v>
      </c>
      <c r="C62">
        <v>2784.12036132812</v>
      </c>
      <c r="D62">
        <f t="shared" si="0"/>
        <v>5.7119536512330522E-4</v>
      </c>
      <c r="E62">
        <f t="shared" si="1"/>
        <v>-3.5205206270597384E-3</v>
      </c>
    </row>
    <row r="63" spans="1:5">
      <c r="A63" s="2">
        <v>45469</v>
      </c>
      <c r="B63">
        <v>19545.349609375</v>
      </c>
      <c r="C63">
        <v>2744.87353515625</v>
      </c>
      <c r="D63">
        <f t="shared" si="0"/>
        <v>6.6806405815367134E-4</v>
      </c>
      <c r="E63">
        <f t="shared" si="1"/>
        <v>-1.4096670071098482E-2</v>
      </c>
    </row>
    <row r="64" spans="1:5">
      <c r="A64" s="2">
        <v>45470</v>
      </c>
      <c r="B64">
        <v>19514.80078125</v>
      </c>
      <c r="C64">
        <v>2726.33178710937</v>
      </c>
      <c r="D64">
        <f t="shared" si="0"/>
        <v>-1.5629716907364574E-3</v>
      </c>
      <c r="E64">
        <f t="shared" si="1"/>
        <v>-6.7550463835210992E-3</v>
      </c>
    </row>
    <row r="65" spans="1:5">
      <c r="A65" s="2">
        <v>45471</v>
      </c>
      <c r="B65">
        <v>19731.55078125</v>
      </c>
      <c r="C65">
        <v>2745.611328125</v>
      </c>
      <c r="D65">
        <f t="shared" si="0"/>
        <v>1.1106954276891998E-2</v>
      </c>
      <c r="E65">
        <f t="shared" si="1"/>
        <v>7.0716048232967992E-3</v>
      </c>
    </row>
    <row r="66" spans="1:5">
      <c r="A66" s="2">
        <v>45474</v>
      </c>
      <c r="B66">
        <v>19758.25</v>
      </c>
      <c r="C66">
        <v>2735.67651367187</v>
      </c>
      <c r="D66">
        <f t="shared" si="0"/>
        <v>1.353123180534348E-3</v>
      </c>
      <c r="E66">
        <f t="shared" si="1"/>
        <v>-3.6184343906806964E-3</v>
      </c>
    </row>
    <row r="67" spans="1:5">
      <c r="A67" s="2">
        <v>45475</v>
      </c>
      <c r="B67">
        <v>19786.400390625</v>
      </c>
      <c r="C67">
        <v>2773.4970703125</v>
      </c>
      <c r="D67">
        <f t="shared" si="0"/>
        <v>1.4247410891652854E-3</v>
      </c>
      <c r="E67">
        <f t="shared" si="1"/>
        <v>1.3824937433800106E-2</v>
      </c>
    </row>
    <row r="68" spans="1:5">
      <c r="A68" s="2">
        <v>45476</v>
      </c>
      <c r="B68">
        <v>19915.30078125</v>
      </c>
      <c r="C68">
        <v>2791.05493164062</v>
      </c>
      <c r="D68">
        <f t="shared" si="0"/>
        <v>6.514595281619507E-3</v>
      </c>
      <c r="E68">
        <f t="shared" si="1"/>
        <v>6.3305858571329554E-3</v>
      </c>
    </row>
    <row r="69" spans="1:5">
      <c r="A69" s="2">
        <v>45477</v>
      </c>
      <c r="B69">
        <v>20192.599609375</v>
      </c>
      <c r="C69">
        <v>2823.31811523437</v>
      </c>
      <c r="D69">
        <f t="shared" si="0"/>
        <v>1.3923908615333255E-2</v>
      </c>
      <c r="E69">
        <f t="shared" si="1"/>
        <v>1.1559494307331766E-2</v>
      </c>
    </row>
    <row r="70" spans="1:5">
      <c r="A70" s="2">
        <v>45478</v>
      </c>
      <c r="B70">
        <v>20453.849609375</v>
      </c>
      <c r="C70">
        <v>2843.77783203125</v>
      </c>
      <c r="D70">
        <f t="shared" si="0"/>
        <v>1.2937908196758732E-2</v>
      </c>
      <c r="E70">
        <f t="shared" si="1"/>
        <v>7.2466919992051956E-3</v>
      </c>
    </row>
    <row r="71" spans="1:5">
      <c r="A71" s="2">
        <v>45481</v>
      </c>
      <c r="B71">
        <v>20325.80078125</v>
      </c>
      <c r="C71">
        <v>2835.564453125</v>
      </c>
      <c r="D71">
        <f t="shared" si="0"/>
        <v>-6.2603779029600844E-3</v>
      </c>
      <c r="E71">
        <f t="shared" si="1"/>
        <v>-2.8881928868484631E-3</v>
      </c>
    </row>
    <row r="72" spans="1:5">
      <c r="A72" s="2">
        <v>45482</v>
      </c>
      <c r="B72">
        <v>20645.80078125</v>
      </c>
      <c r="C72">
        <v>2888.041015625</v>
      </c>
      <c r="D72">
        <f t="shared" ref="D72:D135" si="2">(B72-B71)/B71</f>
        <v>1.5743537164606636E-2</v>
      </c>
      <c r="E72">
        <f t="shared" ref="E72:E135" si="3">(C72-C71)/C71</f>
        <v>1.8506566635142777E-2</v>
      </c>
    </row>
    <row r="73" spans="1:5">
      <c r="A73" s="2">
        <v>45483</v>
      </c>
      <c r="B73">
        <v>20725.94921875</v>
      </c>
      <c r="C73">
        <v>2903.43505859375</v>
      </c>
      <c r="D73">
        <f t="shared" si="2"/>
        <v>3.8820696929706311E-3</v>
      </c>
      <c r="E73">
        <f t="shared" si="3"/>
        <v>5.3302715873716844E-3</v>
      </c>
    </row>
    <row r="74" spans="1:5">
      <c r="A74" s="2">
        <v>45484</v>
      </c>
      <c r="B74">
        <v>20601.69921875</v>
      </c>
      <c r="C74">
        <v>2909.97583007812</v>
      </c>
      <c r="D74">
        <f t="shared" si="2"/>
        <v>-5.9949003391167061E-3</v>
      </c>
      <c r="E74">
        <f t="shared" si="3"/>
        <v>2.2527700301097678E-3</v>
      </c>
    </row>
    <row r="75" spans="1:5">
      <c r="A75" s="2">
        <v>45485</v>
      </c>
      <c r="B75">
        <v>20612.650390625</v>
      </c>
      <c r="C75">
        <v>2900.18872070312</v>
      </c>
      <c r="D75">
        <f t="shared" si="2"/>
        <v>5.3156643822045171E-4</v>
      </c>
      <c r="E75">
        <f t="shared" si="3"/>
        <v>-3.3632957613731313E-3</v>
      </c>
    </row>
    <row r="76" spans="1:5">
      <c r="A76" s="2">
        <v>45488</v>
      </c>
      <c r="B76">
        <v>20844.55078125</v>
      </c>
      <c r="C76">
        <v>2905.35302734375</v>
      </c>
      <c r="D76">
        <f t="shared" si="2"/>
        <v>1.125039168812917E-2</v>
      </c>
      <c r="E76">
        <f t="shared" si="3"/>
        <v>1.7806795136345371E-3</v>
      </c>
    </row>
    <row r="77" spans="1:5">
      <c r="A77" s="2">
        <v>45489</v>
      </c>
      <c r="B77">
        <v>20765.44921875</v>
      </c>
      <c r="C77">
        <v>2926.353515625</v>
      </c>
      <c r="D77">
        <f t="shared" si="2"/>
        <v>-3.7948317202956034E-3</v>
      </c>
      <c r="E77">
        <f t="shared" si="3"/>
        <v>7.2282053449628184E-3</v>
      </c>
    </row>
    <row r="78" spans="1:5">
      <c r="A78" s="2">
        <v>45491</v>
      </c>
      <c r="B78">
        <v>20768.349609375</v>
      </c>
      <c r="C78">
        <v>3008.24096679687</v>
      </c>
      <c r="D78">
        <f t="shared" si="2"/>
        <v>1.3967386857112221E-4</v>
      </c>
      <c r="E78">
        <f t="shared" si="3"/>
        <v>2.7982761048738425E-2</v>
      </c>
    </row>
    <row r="79" spans="1:5">
      <c r="A79" s="2">
        <v>45492</v>
      </c>
      <c r="B79">
        <v>20425.400390625</v>
      </c>
      <c r="C79">
        <v>2898.12329101562</v>
      </c>
      <c r="D79">
        <f t="shared" si="2"/>
        <v>-1.6513070378745453E-2</v>
      </c>
      <c r="E79">
        <f t="shared" si="3"/>
        <v>-3.6605337470189979E-2</v>
      </c>
    </row>
    <row r="80" spans="1:5">
      <c r="A80" s="2">
        <v>45495</v>
      </c>
      <c r="B80">
        <v>20641.55078125</v>
      </c>
      <c r="C80">
        <v>2980.20751953125</v>
      </c>
      <c r="D80">
        <f t="shared" si="2"/>
        <v>1.0582431016833838E-2</v>
      </c>
      <c r="E80">
        <f t="shared" si="3"/>
        <v>2.8323235512476889E-2</v>
      </c>
    </row>
    <row r="81" spans="1:5">
      <c r="A81" s="2">
        <v>45496</v>
      </c>
      <c r="B81">
        <v>20755.349609375</v>
      </c>
      <c r="C81">
        <v>3087.32495117187</v>
      </c>
      <c r="D81">
        <f t="shared" si="2"/>
        <v>5.5130948895744077E-3</v>
      </c>
      <c r="E81">
        <f t="shared" si="3"/>
        <v>3.5942943885152082E-2</v>
      </c>
    </row>
    <row r="82" spans="1:5">
      <c r="A82" s="2">
        <v>45497</v>
      </c>
      <c r="B82">
        <v>20908.5</v>
      </c>
      <c r="C82">
        <v>3094.40698242187</v>
      </c>
      <c r="D82">
        <f t="shared" si="2"/>
        <v>7.3788393598450096E-3</v>
      </c>
      <c r="E82">
        <f t="shared" si="3"/>
        <v>2.293905358848553E-3</v>
      </c>
    </row>
    <row r="83" spans="1:5">
      <c r="A83" s="2">
        <v>45498</v>
      </c>
      <c r="B83">
        <v>21105.5</v>
      </c>
      <c r="C83">
        <v>3034.74975585937</v>
      </c>
      <c r="D83">
        <f t="shared" si="2"/>
        <v>9.4220054045005622E-3</v>
      </c>
      <c r="E83">
        <f t="shared" si="3"/>
        <v>-1.9279049879795916E-2</v>
      </c>
    </row>
    <row r="84" spans="1:5">
      <c r="A84" s="2">
        <v>45499</v>
      </c>
      <c r="B84">
        <v>21603.099609375</v>
      </c>
      <c r="C84">
        <v>3142.60498046875</v>
      </c>
      <c r="D84">
        <f t="shared" si="2"/>
        <v>2.3576774270924642E-2</v>
      </c>
      <c r="E84">
        <f t="shared" si="3"/>
        <v>3.5540071928875705E-2</v>
      </c>
    </row>
    <row r="85" spans="1:5">
      <c r="A85" s="2">
        <v>45502</v>
      </c>
      <c r="B85">
        <v>21674.94921875</v>
      </c>
      <c r="C85">
        <v>3146.04760742187</v>
      </c>
      <c r="D85">
        <f t="shared" si="2"/>
        <v>3.3258935372320253E-3</v>
      </c>
      <c r="E85">
        <f t="shared" si="3"/>
        <v>1.0954691965792331E-3</v>
      </c>
    </row>
    <row r="86" spans="1:5">
      <c r="A86" s="2">
        <v>45503</v>
      </c>
      <c r="B86">
        <v>21540.80078125</v>
      </c>
      <c r="C86">
        <v>3060.22583007812</v>
      </c>
      <c r="D86">
        <f t="shared" si="2"/>
        <v>-6.1891004286162002E-3</v>
      </c>
      <c r="E86">
        <f t="shared" si="3"/>
        <v>-2.7279236697272811E-2</v>
      </c>
    </row>
    <row r="87" spans="1:5">
      <c r="A87" s="2">
        <v>45504</v>
      </c>
      <c r="B87">
        <v>21777.150390625</v>
      </c>
      <c r="C87">
        <v>3119.833984375</v>
      </c>
      <c r="D87">
        <f t="shared" si="2"/>
        <v>1.0972183057406503E-2</v>
      </c>
      <c r="E87">
        <f t="shared" si="3"/>
        <v>1.9478351470341767E-2</v>
      </c>
    </row>
    <row r="88" spans="1:5">
      <c r="A88" s="2">
        <v>45505</v>
      </c>
      <c r="B88">
        <v>21790.349609375</v>
      </c>
      <c r="C88">
        <v>3152.53979492187</v>
      </c>
      <c r="D88">
        <f t="shared" si="2"/>
        <v>6.061040362600529E-4</v>
      </c>
      <c r="E88">
        <f t="shared" si="3"/>
        <v>1.0483189397471093E-2</v>
      </c>
    </row>
    <row r="89" spans="1:5">
      <c r="A89" s="2">
        <v>45506</v>
      </c>
      <c r="B89">
        <v>21902.849609375</v>
      </c>
      <c r="C89">
        <v>3175.26171875</v>
      </c>
      <c r="D89">
        <f t="shared" si="2"/>
        <v>5.1628359350231997E-3</v>
      </c>
      <c r="E89">
        <f t="shared" si="3"/>
        <v>7.207497860845599E-3</v>
      </c>
    </row>
    <row r="90" spans="1:5">
      <c r="A90" s="2">
        <v>45509</v>
      </c>
      <c r="B90">
        <v>21583.05078125</v>
      </c>
      <c r="C90">
        <v>3115.65356445312</v>
      </c>
      <c r="D90">
        <f t="shared" si="2"/>
        <v>-1.4600786373847796E-2</v>
      </c>
      <c r="E90">
        <f t="shared" si="3"/>
        <v>-1.8772674373546079E-2</v>
      </c>
    </row>
    <row r="91" spans="1:5">
      <c r="A91" s="2">
        <v>45510</v>
      </c>
      <c r="B91">
        <v>21562.55078125</v>
      </c>
      <c r="C91">
        <v>3167.83520507812</v>
      </c>
      <c r="D91">
        <f t="shared" si="2"/>
        <v>-9.4981938409787337E-4</v>
      </c>
      <c r="E91">
        <f t="shared" si="3"/>
        <v>1.6748216560514572E-2</v>
      </c>
    </row>
    <row r="92" spans="1:5">
      <c r="A92" s="2">
        <v>45511</v>
      </c>
      <c r="B92">
        <v>22036.94921875</v>
      </c>
      <c r="C92">
        <v>3269.24731445312</v>
      </c>
      <c r="D92">
        <f t="shared" si="2"/>
        <v>2.2001035142489699E-2</v>
      </c>
      <c r="E92">
        <f t="shared" si="3"/>
        <v>3.2013063436012651E-2</v>
      </c>
    </row>
    <row r="93" spans="1:5">
      <c r="A93" s="2">
        <v>45512</v>
      </c>
      <c r="B93">
        <v>22114.25</v>
      </c>
      <c r="C93">
        <v>3278.837890625</v>
      </c>
      <c r="D93">
        <f t="shared" si="2"/>
        <v>3.5077805227335694E-3</v>
      </c>
      <c r="E93">
        <f t="shared" si="3"/>
        <v>2.9335731590206461E-3</v>
      </c>
    </row>
    <row r="94" spans="1:5">
      <c r="A94" s="2">
        <v>45513</v>
      </c>
      <c r="B94">
        <v>22209.55078125</v>
      </c>
      <c r="C94">
        <v>3283.75634765625</v>
      </c>
      <c r="D94">
        <f t="shared" si="2"/>
        <v>4.3094738121347096E-3</v>
      </c>
      <c r="E94">
        <f t="shared" si="3"/>
        <v>1.5000610567887703E-3</v>
      </c>
    </row>
    <row r="95" spans="1:5">
      <c r="A95" s="2">
        <v>45516</v>
      </c>
      <c r="B95">
        <v>22205.599609375</v>
      </c>
      <c r="C95">
        <v>3282.62475585937</v>
      </c>
      <c r="D95">
        <f t="shared" si="2"/>
        <v>-1.7790417797804823E-4</v>
      </c>
      <c r="E95">
        <f t="shared" si="3"/>
        <v>-3.4460285023511723E-4</v>
      </c>
    </row>
    <row r="96" spans="1:5">
      <c r="A96" s="2">
        <v>45517</v>
      </c>
      <c r="B96">
        <v>22191.599609375</v>
      </c>
      <c r="C96">
        <v>3308.3466796875</v>
      </c>
      <c r="D96">
        <f t="shared" si="2"/>
        <v>-6.304716038421826E-4</v>
      </c>
      <c r="E96">
        <f t="shared" si="3"/>
        <v>7.8357795182703322E-3</v>
      </c>
    </row>
    <row r="97" spans="1:5">
      <c r="A97" s="2">
        <v>45518</v>
      </c>
      <c r="B97">
        <v>22012.69921875</v>
      </c>
      <c r="C97">
        <v>3293.93676757812</v>
      </c>
      <c r="D97">
        <f t="shared" si="2"/>
        <v>-8.061626641345054E-3</v>
      </c>
      <c r="E97">
        <f t="shared" si="3"/>
        <v>-4.3556233685706526E-3</v>
      </c>
    </row>
    <row r="98" spans="1:5">
      <c r="A98" s="2">
        <v>45520</v>
      </c>
      <c r="B98">
        <v>22106.5</v>
      </c>
      <c r="C98">
        <v>3293.3955078125</v>
      </c>
      <c r="D98">
        <f t="shared" si="2"/>
        <v>4.2612121447651577E-3</v>
      </c>
      <c r="E98">
        <f t="shared" si="3"/>
        <v>-1.6432002306406178E-4</v>
      </c>
    </row>
    <row r="99" spans="1:5">
      <c r="A99" s="2">
        <v>45523</v>
      </c>
      <c r="B99">
        <v>22237.849609375</v>
      </c>
      <c r="C99">
        <v>3294.52685546875</v>
      </c>
      <c r="D99">
        <f t="shared" si="2"/>
        <v>5.9416736876031937E-3</v>
      </c>
      <c r="E99">
        <f t="shared" si="3"/>
        <v>3.4352013099132764E-4</v>
      </c>
    </row>
    <row r="100" spans="1:5">
      <c r="A100" s="2">
        <v>45524</v>
      </c>
      <c r="B100">
        <v>22374.25</v>
      </c>
      <c r="C100">
        <v>3307.46166992187</v>
      </c>
      <c r="D100">
        <f t="shared" si="2"/>
        <v>6.1337041584945571E-3</v>
      </c>
      <c r="E100">
        <f t="shared" si="3"/>
        <v>3.9261523795591016E-3</v>
      </c>
    </row>
    <row r="101" spans="1:5">
      <c r="A101" s="2">
        <v>45525</v>
      </c>
      <c r="B101">
        <v>22577.900390625</v>
      </c>
      <c r="C101">
        <v>3295.904296875</v>
      </c>
      <c r="D101">
        <f t="shared" si="2"/>
        <v>9.1019985306770058E-3</v>
      </c>
      <c r="E101">
        <f t="shared" si="3"/>
        <v>-3.4943331776065632E-3</v>
      </c>
    </row>
    <row r="102" spans="1:5">
      <c r="A102" s="2">
        <v>45526</v>
      </c>
      <c r="B102">
        <v>22546.099609375</v>
      </c>
      <c r="C102">
        <v>3307.56030273437</v>
      </c>
      <c r="D102">
        <f t="shared" si="2"/>
        <v>-1.4084915204606275E-3</v>
      </c>
      <c r="E102">
        <f t="shared" si="3"/>
        <v>3.5365122313841448E-3</v>
      </c>
    </row>
    <row r="103" spans="1:5">
      <c r="A103" s="2">
        <v>45527</v>
      </c>
      <c r="B103">
        <v>22527.849609375</v>
      </c>
      <c r="C103">
        <v>3294.52685546875</v>
      </c>
      <c r="D103">
        <f t="shared" si="2"/>
        <v>-8.0945264663034584E-4</v>
      </c>
      <c r="E103">
        <f t="shared" si="3"/>
        <v>-3.9405017815836068E-3</v>
      </c>
    </row>
    <row r="104" spans="1:5">
      <c r="A104" s="2">
        <v>45530</v>
      </c>
      <c r="B104">
        <v>22554.94921875</v>
      </c>
      <c r="C104">
        <v>3288.083984375</v>
      </c>
      <c r="D104">
        <f t="shared" si="2"/>
        <v>1.2029381341272119E-3</v>
      </c>
      <c r="E104">
        <f t="shared" si="3"/>
        <v>-1.955628646054336E-3</v>
      </c>
    </row>
    <row r="105" spans="1:5">
      <c r="A105" s="2">
        <v>45531</v>
      </c>
      <c r="B105">
        <v>22729</v>
      </c>
      <c r="C105">
        <v>3306.96997070312</v>
      </c>
      <c r="D105">
        <f t="shared" si="2"/>
        <v>7.7167445407197392E-3</v>
      </c>
      <c r="E105">
        <f t="shared" si="3"/>
        <v>5.743766405562129E-3</v>
      </c>
    </row>
    <row r="106" spans="1:5">
      <c r="A106" s="2">
        <v>45532</v>
      </c>
      <c r="B106">
        <v>22989.099609375</v>
      </c>
      <c r="C106">
        <v>3363.4794921875</v>
      </c>
      <c r="D106">
        <f t="shared" si="2"/>
        <v>1.1443513105503981E-2</v>
      </c>
      <c r="E106">
        <f t="shared" si="3"/>
        <v>1.7088005632045423E-2</v>
      </c>
    </row>
    <row r="107" spans="1:5">
      <c r="A107" s="2">
        <v>45533</v>
      </c>
      <c r="B107">
        <v>22878.05078125</v>
      </c>
      <c r="C107">
        <v>3378.33251953125</v>
      </c>
      <c r="D107">
        <f t="shared" si="2"/>
        <v>-4.8304992371129693E-3</v>
      </c>
      <c r="E107">
        <f t="shared" si="3"/>
        <v>4.4159708356330913E-3</v>
      </c>
    </row>
    <row r="108" spans="1:5">
      <c r="A108" s="2">
        <v>45534</v>
      </c>
      <c r="B108">
        <v>23217.599609375</v>
      </c>
      <c r="C108">
        <v>3428.10424804687</v>
      </c>
      <c r="D108">
        <f t="shared" si="2"/>
        <v>1.4841685219235618E-2</v>
      </c>
      <c r="E108">
        <f t="shared" si="3"/>
        <v>1.4732631624587956E-2</v>
      </c>
    </row>
    <row r="109" spans="1:5">
      <c r="A109" s="2">
        <v>45537</v>
      </c>
      <c r="B109">
        <v>22987.44921875</v>
      </c>
      <c r="C109">
        <v>3373.61083984375</v>
      </c>
      <c r="D109">
        <f t="shared" si="2"/>
        <v>-9.9127556033858002E-3</v>
      </c>
      <c r="E109">
        <f t="shared" si="3"/>
        <v>-1.5896076741005499E-2</v>
      </c>
    </row>
    <row r="110" spans="1:5">
      <c r="A110" s="2">
        <v>45538</v>
      </c>
      <c r="B110">
        <v>23014.30078125</v>
      </c>
      <c r="C110">
        <v>3370.02075195312</v>
      </c>
      <c r="D110">
        <f t="shared" si="2"/>
        <v>1.1680966532858369E-3</v>
      </c>
      <c r="E110">
        <f t="shared" si="3"/>
        <v>-1.0641677600242351E-3</v>
      </c>
    </row>
    <row r="111" spans="1:5">
      <c r="A111" s="2">
        <v>45539</v>
      </c>
      <c r="B111">
        <v>23184.400390625</v>
      </c>
      <c r="C111">
        <v>3406.16918945312</v>
      </c>
      <c r="D111">
        <f t="shared" si="2"/>
        <v>7.3910396406038975E-3</v>
      </c>
      <c r="E111">
        <f t="shared" si="3"/>
        <v>1.0726473265498413E-2</v>
      </c>
    </row>
    <row r="112" spans="1:5">
      <c r="A112" s="2">
        <v>45540</v>
      </c>
      <c r="B112">
        <v>23156.69921875</v>
      </c>
      <c r="C112">
        <v>3386.15234375</v>
      </c>
      <c r="D112">
        <f t="shared" si="2"/>
        <v>-1.1948194220369585E-3</v>
      </c>
      <c r="E112">
        <f t="shared" si="3"/>
        <v>-5.8766445792241507E-3</v>
      </c>
    </row>
    <row r="113" spans="1:5">
      <c r="A113" s="2">
        <v>45541</v>
      </c>
      <c r="B113">
        <v>23043.400390625</v>
      </c>
      <c r="C113">
        <v>3360.7744140625</v>
      </c>
      <c r="D113">
        <f t="shared" si="2"/>
        <v>-4.8927019803090867E-3</v>
      </c>
      <c r="E113">
        <f t="shared" si="3"/>
        <v>-7.4946213611272938E-3</v>
      </c>
    </row>
    <row r="114" spans="1:5">
      <c r="A114" s="2">
        <v>45544</v>
      </c>
      <c r="B114">
        <v>23009.400390625</v>
      </c>
      <c r="C114">
        <v>3374.93872070312</v>
      </c>
      <c r="D114">
        <f t="shared" si="2"/>
        <v>-1.4754766841543314E-3</v>
      </c>
      <c r="E114">
        <f t="shared" si="3"/>
        <v>4.21459607087945E-3</v>
      </c>
    </row>
    <row r="115" spans="1:5">
      <c r="A115" s="2">
        <v>45545</v>
      </c>
      <c r="B115">
        <v>23256.849609375</v>
      </c>
      <c r="C115">
        <v>3370.06982421875</v>
      </c>
      <c r="D115">
        <f t="shared" si="2"/>
        <v>1.0754266280264359E-2</v>
      </c>
      <c r="E115">
        <f t="shared" si="3"/>
        <v>-1.4426621895391432E-3</v>
      </c>
    </row>
    <row r="116" spans="1:5">
      <c r="A116" s="2">
        <v>45546</v>
      </c>
      <c r="B116">
        <v>23220.400390625</v>
      </c>
      <c r="C116">
        <v>3379.31616210937</v>
      </c>
      <c r="D116">
        <f t="shared" si="2"/>
        <v>-1.5672466117382924E-3</v>
      </c>
      <c r="E116">
        <f t="shared" si="3"/>
        <v>2.7436635953866284E-3</v>
      </c>
    </row>
    <row r="117" spans="1:5">
      <c r="A117" s="2">
        <v>45547</v>
      </c>
      <c r="B117">
        <v>23429.599609375</v>
      </c>
      <c r="C117">
        <v>3404.7919921875</v>
      </c>
      <c r="D117">
        <f t="shared" si="2"/>
        <v>9.0092855950262615E-3</v>
      </c>
      <c r="E117">
        <f t="shared" si="3"/>
        <v>7.5387530660132084E-3</v>
      </c>
    </row>
    <row r="118" spans="1:5">
      <c r="A118" s="2">
        <v>45548</v>
      </c>
      <c r="B118">
        <v>23457.650390625</v>
      </c>
      <c r="C118">
        <v>3395.20141601562</v>
      </c>
      <c r="D118">
        <f t="shared" si="2"/>
        <v>1.1972369019390286E-3</v>
      </c>
      <c r="E118">
        <f t="shared" si="3"/>
        <v>-2.8167876903746709E-3</v>
      </c>
    </row>
    <row r="119" spans="1:5">
      <c r="A119" s="2">
        <v>45551</v>
      </c>
      <c r="B119">
        <v>23448.75</v>
      </c>
      <c r="C119">
        <v>3397.36547851562</v>
      </c>
      <c r="D119">
        <f t="shared" si="2"/>
        <v>-3.7942379039620686E-4</v>
      </c>
      <c r="E119">
        <f t="shared" si="3"/>
        <v>6.3738854778742351E-4</v>
      </c>
    </row>
    <row r="120" spans="1:5">
      <c r="A120" s="2">
        <v>45552</v>
      </c>
      <c r="B120">
        <v>23383.650390625</v>
      </c>
      <c r="C120">
        <v>3396.72607421875</v>
      </c>
      <c r="D120">
        <f t="shared" si="2"/>
        <v>-2.7762507329815024E-3</v>
      </c>
      <c r="E120">
        <f t="shared" si="3"/>
        <v>-1.8820592041494662E-4</v>
      </c>
    </row>
    <row r="121" spans="1:5">
      <c r="A121" s="2">
        <v>45553</v>
      </c>
      <c r="B121">
        <v>23025.19921875</v>
      </c>
      <c r="C121">
        <v>3304.609375</v>
      </c>
      <c r="D121">
        <f t="shared" si="2"/>
        <v>-1.5329136635514815E-2</v>
      </c>
      <c r="E121">
        <f t="shared" si="3"/>
        <v>-2.7119260489657508E-2</v>
      </c>
    </row>
    <row r="122" spans="1:5">
      <c r="A122" s="2">
        <v>45554</v>
      </c>
      <c r="B122">
        <v>22930.150390625</v>
      </c>
      <c r="C122">
        <v>3297.03515625</v>
      </c>
      <c r="D122">
        <f t="shared" si="2"/>
        <v>-4.1280349942683378E-3</v>
      </c>
      <c r="E122">
        <f t="shared" si="3"/>
        <v>-2.2920163597248164E-3</v>
      </c>
    </row>
    <row r="123" spans="1:5">
      <c r="A123" s="2">
        <v>45555</v>
      </c>
      <c r="B123">
        <v>23005.25</v>
      </c>
      <c r="C123">
        <v>3401.20166015625</v>
      </c>
      <c r="D123">
        <f t="shared" si="2"/>
        <v>3.2751468305111729E-3</v>
      </c>
      <c r="E123">
        <f t="shared" si="3"/>
        <v>3.1593992471929684E-2</v>
      </c>
    </row>
    <row r="124" spans="1:5">
      <c r="A124" s="2">
        <v>45558</v>
      </c>
      <c r="B124">
        <v>23134.25</v>
      </c>
      <c r="C124">
        <v>3401.05395507812</v>
      </c>
      <c r="D124">
        <f t="shared" si="2"/>
        <v>5.6074156985905389E-3</v>
      </c>
      <c r="E124">
        <f t="shared" si="3"/>
        <v>-4.3427321543532559E-5</v>
      </c>
    </row>
    <row r="125" spans="1:5">
      <c r="A125" s="2">
        <v>45559</v>
      </c>
      <c r="B125">
        <v>23188.400390625</v>
      </c>
      <c r="C125">
        <v>3414.08715820312</v>
      </c>
      <c r="D125">
        <f t="shared" si="2"/>
        <v>2.3407022326204655E-3</v>
      </c>
      <c r="E125">
        <f t="shared" si="3"/>
        <v>3.8321071341841256E-3</v>
      </c>
    </row>
    <row r="126" spans="1:5">
      <c r="A126" s="2">
        <v>45560</v>
      </c>
      <c r="B126">
        <v>23249</v>
      </c>
      <c r="C126">
        <v>3371.93872070312</v>
      </c>
      <c r="D126">
        <f t="shared" si="2"/>
        <v>2.6133587636127001E-3</v>
      </c>
      <c r="E126">
        <f t="shared" si="3"/>
        <v>-1.234544859194025E-2</v>
      </c>
    </row>
    <row r="127" spans="1:5">
      <c r="A127" s="2">
        <v>45561</v>
      </c>
      <c r="B127">
        <v>23250.900390625</v>
      </c>
      <c r="C127">
        <v>3356.44653320312</v>
      </c>
      <c r="D127">
        <f t="shared" si="2"/>
        <v>8.1740746913845755E-5</v>
      </c>
      <c r="E127">
        <f t="shared" si="3"/>
        <v>-4.5944451495754214E-3</v>
      </c>
    </row>
    <row r="128" spans="1:5">
      <c r="A128" s="2">
        <v>45562</v>
      </c>
      <c r="B128">
        <v>23519.099609375</v>
      </c>
      <c r="C128">
        <v>3425.595703125</v>
      </c>
      <c r="D128">
        <f t="shared" si="2"/>
        <v>1.1535003558749951E-2</v>
      </c>
      <c r="E128">
        <f t="shared" si="3"/>
        <v>2.0601898239055113E-2</v>
      </c>
    </row>
    <row r="129" spans="1:5">
      <c r="A129" s="2">
        <v>45565</v>
      </c>
      <c r="B129">
        <v>23281.19921875</v>
      </c>
      <c r="C129">
        <v>3340.95434570312</v>
      </c>
      <c r="D129">
        <f t="shared" si="2"/>
        <v>-1.0115199755783594E-2</v>
      </c>
      <c r="E129">
        <f t="shared" si="3"/>
        <v>-2.4708507587356533E-2</v>
      </c>
    </row>
    <row r="130" spans="1:5">
      <c r="A130" s="2">
        <v>45566</v>
      </c>
      <c r="B130">
        <v>23296.55078125</v>
      </c>
      <c r="C130">
        <v>3314.74047851562</v>
      </c>
      <c r="D130">
        <f t="shared" si="2"/>
        <v>6.5939741143730679E-4</v>
      </c>
      <c r="E130">
        <f t="shared" si="3"/>
        <v>-7.8462213113490373E-3</v>
      </c>
    </row>
    <row r="131" spans="1:5">
      <c r="A131" s="2">
        <v>45568</v>
      </c>
      <c r="B131">
        <v>23178.75</v>
      </c>
      <c r="C131">
        <v>3336.62622070312</v>
      </c>
      <c r="D131">
        <f t="shared" si="2"/>
        <v>-5.0565760724034219E-3</v>
      </c>
      <c r="E131">
        <f t="shared" si="3"/>
        <v>6.6025507364307129E-3</v>
      </c>
    </row>
    <row r="132" spans="1:5">
      <c r="A132" s="2">
        <v>45569</v>
      </c>
      <c r="B132">
        <v>23094.69921875</v>
      </c>
      <c r="C132">
        <v>3416.69409179687</v>
      </c>
      <c r="D132">
        <f t="shared" si="2"/>
        <v>-3.6261999137140702E-3</v>
      </c>
      <c r="E132">
        <f t="shared" si="3"/>
        <v>2.3996655842642593E-2</v>
      </c>
    </row>
    <row r="133" spans="1:5">
      <c r="A133" s="2">
        <v>45572</v>
      </c>
      <c r="B133">
        <v>22977.80078125</v>
      </c>
      <c r="C133">
        <v>3349.3642578125</v>
      </c>
      <c r="D133">
        <f t="shared" si="2"/>
        <v>-5.0616999335108522E-3</v>
      </c>
      <c r="E133">
        <f t="shared" si="3"/>
        <v>-1.9706134694944446E-2</v>
      </c>
    </row>
    <row r="134" spans="1:5">
      <c r="A134" s="2">
        <v>45573</v>
      </c>
      <c r="B134">
        <v>23307.94921875</v>
      </c>
      <c r="C134">
        <v>3459.87524414062</v>
      </c>
      <c r="D134">
        <f t="shared" si="2"/>
        <v>1.4368147789382993E-2</v>
      </c>
      <c r="E134">
        <f t="shared" si="3"/>
        <v>3.2994615640968152E-2</v>
      </c>
    </row>
    <row r="135" spans="1:5">
      <c r="A135" s="2">
        <v>45574</v>
      </c>
      <c r="B135">
        <v>23783.80078125</v>
      </c>
      <c r="C135">
        <v>3499.02416992187</v>
      </c>
      <c r="D135">
        <f t="shared" si="2"/>
        <v>2.0415848603153933E-2</v>
      </c>
      <c r="E135">
        <f t="shared" si="3"/>
        <v>1.131512641895098E-2</v>
      </c>
    </row>
    <row r="136" spans="1:5">
      <c r="A136" s="2">
        <v>45575</v>
      </c>
      <c r="B136">
        <v>23305.150390625</v>
      </c>
      <c r="C136">
        <v>3386.88989257812</v>
      </c>
      <c r="D136">
        <f t="shared" ref="D136:D199" si="4">(B136-B135)/B135</f>
        <v>-2.0125058859488298E-2</v>
      </c>
      <c r="E136">
        <f t="shared" ref="E136:E199" si="5">(C136-C135)/C135</f>
        <v>-3.2047300018008693E-2</v>
      </c>
    </row>
    <row r="137" spans="1:5">
      <c r="A137" s="2">
        <v>45576</v>
      </c>
      <c r="B137">
        <v>23582.25</v>
      </c>
      <c r="C137">
        <v>3439.80932617187</v>
      </c>
      <c r="D137">
        <f t="shared" si="4"/>
        <v>1.1890058838087109E-2</v>
      </c>
      <c r="E137">
        <f t="shared" si="5"/>
        <v>1.5624787126890454E-2</v>
      </c>
    </row>
    <row r="138" spans="1:5">
      <c r="A138" s="2">
        <v>45579</v>
      </c>
      <c r="B138">
        <v>23680</v>
      </c>
      <c r="C138">
        <v>3432.82543945312</v>
      </c>
      <c r="D138">
        <f t="shared" si="4"/>
        <v>4.1450667345143064E-3</v>
      </c>
      <c r="E138">
        <f t="shared" si="5"/>
        <v>-2.0303121645763719E-3</v>
      </c>
    </row>
    <row r="139" spans="1:5">
      <c r="A139" s="2">
        <v>45580</v>
      </c>
      <c r="B139">
        <v>23555.69921875</v>
      </c>
      <c r="C139">
        <v>3440.3505859375</v>
      </c>
      <c r="D139">
        <f t="shared" si="4"/>
        <v>-5.249188397381757E-3</v>
      </c>
      <c r="E139">
        <f t="shared" si="5"/>
        <v>2.1921145182316132E-3</v>
      </c>
    </row>
    <row r="140" spans="1:5">
      <c r="A140" s="2">
        <v>45581</v>
      </c>
      <c r="B140">
        <v>23467.349609375</v>
      </c>
      <c r="C140">
        <v>3457.80981445312</v>
      </c>
      <c r="D140">
        <f t="shared" si="4"/>
        <v>-3.7506680890489114E-3</v>
      </c>
      <c r="E140">
        <f t="shared" si="5"/>
        <v>5.0748399267751768E-3</v>
      </c>
    </row>
    <row r="141" spans="1:5">
      <c r="A141" s="2">
        <v>45582</v>
      </c>
      <c r="B141">
        <v>23254</v>
      </c>
      <c r="C141">
        <v>3341.052734375</v>
      </c>
      <c r="D141">
        <f t="shared" si="4"/>
        <v>-9.0913380899975468E-3</v>
      </c>
      <c r="E141">
        <f t="shared" si="5"/>
        <v>-3.3766194887322354E-2</v>
      </c>
    </row>
    <row r="142" spans="1:5">
      <c r="A142" s="2">
        <v>45583</v>
      </c>
      <c r="B142">
        <v>23356.19921875</v>
      </c>
      <c r="C142">
        <v>3393.03759765625</v>
      </c>
      <c r="D142">
        <f t="shared" si="4"/>
        <v>4.3949092091683153E-3</v>
      </c>
      <c r="E142">
        <f t="shared" si="5"/>
        <v>1.5559426149247728E-2</v>
      </c>
    </row>
    <row r="143" spans="1:5">
      <c r="A143" s="2">
        <v>45586</v>
      </c>
      <c r="B143">
        <v>23122.69921875</v>
      </c>
      <c r="C143">
        <v>3336.97045898437</v>
      </c>
      <c r="D143">
        <f t="shared" si="4"/>
        <v>-9.9973457929982794E-3</v>
      </c>
      <c r="E143">
        <f t="shared" si="5"/>
        <v>-1.6524172532190191E-2</v>
      </c>
    </row>
    <row r="144" spans="1:5">
      <c r="A144" s="2">
        <v>45587</v>
      </c>
      <c r="B144">
        <v>22828.19921875</v>
      </c>
      <c r="C144">
        <v>3284.98559570312</v>
      </c>
      <c r="D144">
        <f t="shared" si="4"/>
        <v>-1.2736402321109314E-2</v>
      </c>
      <c r="E144">
        <f t="shared" si="5"/>
        <v>-1.5578460738628161E-2</v>
      </c>
    </row>
    <row r="145" spans="1:5">
      <c r="A145" s="2">
        <v>45588</v>
      </c>
      <c r="B145">
        <v>22471.599609375</v>
      </c>
      <c r="C145">
        <v>3264.62451171875</v>
      </c>
      <c r="D145">
        <f t="shared" si="4"/>
        <v>-1.562101355248845E-2</v>
      </c>
      <c r="E145">
        <f t="shared" si="5"/>
        <v>-6.1982262604143631E-3</v>
      </c>
    </row>
    <row r="146" spans="1:5">
      <c r="A146" s="2">
        <v>45589</v>
      </c>
      <c r="B146">
        <v>22570.80078125</v>
      </c>
      <c r="C146">
        <v>3266.93603515625</v>
      </c>
      <c r="D146">
        <f t="shared" si="4"/>
        <v>4.4145131454555618E-3</v>
      </c>
      <c r="E146">
        <f t="shared" si="5"/>
        <v>7.0805185380509066E-4</v>
      </c>
    </row>
    <row r="147" spans="1:5">
      <c r="A147" s="2">
        <v>45590</v>
      </c>
      <c r="B147">
        <v>22574.55078125</v>
      </c>
      <c r="C147">
        <v>3376.66015625</v>
      </c>
      <c r="D147">
        <f t="shared" si="4"/>
        <v>1.6614386154678205E-4</v>
      </c>
      <c r="E147">
        <f t="shared" si="5"/>
        <v>3.358624714808723E-2</v>
      </c>
    </row>
    <row r="148" spans="1:5">
      <c r="A148" s="2">
        <v>45593</v>
      </c>
      <c r="B148">
        <v>22857.25</v>
      </c>
      <c r="C148">
        <v>3262.4111328125</v>
      </c>
      <c r="D148">
        <f t="shared" si="4"/>
        <v>1.2522916690098865E-2</v>
      </c>
      <c r="E148">
        <f t="shared" si="5"/>
        <v>-3.383491916591954E-2</v>
      </c>
    </row>
    <row r="149" spans="1:5">
      <c r="A149" s="2">
        <v>45594</v>
      </c>
      <c r="B149">
        <v>22601.400390625</v>
      </c>
      <c r="C149">
        <v>3163.01538085937</v>
      </c>
      <c r="D149">
        <f t="shared" si="4"/>
        <v>-1.1193367941244025E-2</v>
      </c>
      <c r="E149">
        <f t="shared" si="5"/>
        <v>-3.0466960755936877E-2</v>
      </c>
    </row>
    <row r="150" spans="1:5">
      <c r="A150" s="2">
        <v>45595</v>
      </c>
      <c r="B150">
        <v>22374.94921875</v>
      </c>
      <c r="C150">
        <v>3086.43969726562</v>
      </c>
      <c r="D150">
        <f t="shared" si="4"/>
        <v>-1.0019342516888083E-2</v>
      </c>
      <c r="E150">
        <f t="shared" si="5"/>
        <v>-2.4209709525011825E-2</v>
      </c>
    </row>
    <row r="151" spans="1:5">
      <c r="A151" s="2">
        <v>45596</v>
      </c>
      <c r="B151">
        <v>22735.55078125</v>
      </c>
      <c r="C151">
        <v>3150.22802734375</v>
      </c>
      <c r="D151">
        <f t="shared" si="4"/>
        <v>1.6116307526535936E-2</v>
      </c>
      <c r="E151">
        <f t="shared" si="5"/>
        <v>2.0667285395092026E-2</v>
      </c>
    </row>
    <row r="152" spans="1:5">
      <c r="A152" s="2">
        <v>45597</v>
      </c>
      <c r="B152">
        <v>22807.150390625</v>
      </c>
      <c r="C152">
        <v>3152.83471679687</v>
      </c>
      <c r="D152">
        <f t="shared" si="4"/>
        <v>3.1492357525839299E-3</v>
      </c>
      <c r="E152">
        <f t="shared" si="5"/>
        <v>8.2746056174160193E-4</v>
      </c>
    </row>
    <row r="153" spans="1:5">
      <c r="A153" s="2">
        <v>45600</v>
      </c>
      <c r="B153">
        <v>22638.30078125</v>
      </c>
      <c r="C153">
        <v>3148.16259765625</v>
      </c>
      <c r="D153">
        <f t="shared" si="4"/>
        <v>-7.4033628262655084E-3</v>
      </c>
      <c r="E153">
        <f t="shared" si="5"/>
        <v>-1.4818788678420316E-3</v>
      </c>
    </row>
    <row r="154" spans="1:5">
      <c r="A154" s="2">
        <v>45601</v>
      </c>
      <c r="B154">
        <v>22661.25</v>
      </c>
      <c r="C154">
        <v>3132.03100585937</v>
      </c>
      <c r="D154">
        <f t="shared" si="4"/>
        <v>1.0137341566292606E-3</v>
      </c>
      <c r="E154">
        <f t="shared" si="5"/>
        <v>-5.1241291694684643E-3</v>
      </c>
    </row>
    <row r="155" spans="1:5">
      <c r="A155" s="2">
        <v>45602</v>
      </c>
      <c r="B155">
        <v>22920.349609375</v>
      </c>
      <c r="C155">
        <v>3157.35961914062</v>
      </c>
      <c r="D155">
        <f t="shared" si="4"/>
        <v>1.1433597412984721E-2</v>
      </c>
      <c r="E155">
        <f t="shared" si="5"/>
        <v>8.0869612190509928E-3</v>
      </c>
    </row>
    <row r="156" spans="1:5">
      <c r="A156" s="2">
        <v>45603</v>
      </c>
      <c r="B156">
        <v>22526.94921875</v>
      </c>
      <c r="C156">
        <v>3111.17797851562</v>
      </c>
      <c r="D156">
        <f t="shared" si="4"/>
        <v>-1.716380410114204E-2</v>
      </c>
      <c r="E156">
        <f t="shared" si="5"/>
        <v>-1.4626664743869077E-2</v>
      </c>
    </row>
    <row r="157" spans="1:5">
      <c r="A157" s="2">
        <v>45604</v>
      </c>
      <c r="B157">
        <v>22542.25</v>
      </c>
      <c r="C157">
        <v>3147.47412109375</v>
      </c>
      <c r="D157">
        <f t="shared" si="4"/>
        <v>6.7922118975900217E-4</v>
      </c>
      <c r="E157">
        <f t="shared" si="5"/>
        <v>1.1666366510940438E-2</v>
      </c>
    </row>
    <row r="158" spans="1:5">
      <c r="A158" s="2">
        <v>45607</v>
      </c>
      <c r="B158">
        <v>22344.25</v>
      </c>
      <c r="C158">
        <v>3100.06274414062</v>
      </c>
      <c r="D158">
        <f t="shared" si="4"/>
        <v>-8.783506526633322E-3</v>
      </c>
      <c r="E158">
        <f t="shared" si="5"/>
        <v>-1.50633095393504E-2</v>
      </c>
    </row>
    <row r="159" spans="1:5">
      <c r="A159" s="2">
        <v>45608</v>
      </c>
      <c r="B159">
        <v>22151.599609375</v>
      </c>
      <c r="C159">
        <v>3099.47265625</v>
      </c>
      <c r="D159">
        <f t="shared" si="4"/>
        <v>-8.6219224464907079E-3</v>
      </c>
      <c r="E159">
        <f t="shared" si="5"/>
        <v>-1.9034707982453375E-4</v>
      </c>
    </row>
    <row r="160" spans="1:5">
      <c r="A160" s="2">
        <v>45609</v>
      </c>
      <c r="B160">
        <v>21809.30078125</v>
      </c>
      <c r="C160">
        <v>3065.58666992187</v>
      </c>
      <c r="D160">
        <f t="shared" si="4"/>
        <v>-1.5452555759455507E-2</v>
      </c>
      <c r="E160">
        <f t="shared" si="5"/>
        <v>-1.0932823123894918E-2</v>
      </c>
    </row>
    <row r="161" spans="1:5">
      <c r="A161" s="2">
        <v>45610</v>
      </c>
      <c r="B161">
        <v>21752</v>
      </c>
      <c r="C161">
        <v>3051.61889648437</v>
      </c>
      <c r="D161">
        <f t="shared" si="4"/>
        <v>-2.627355265752624E-3</v>
      </c>
      <c r="E161">
        <f t="shared" si="5"/>
        <v>-4.5563133394809496E-3</v>
      </c>
    </row>
    <row r="162" spans="1:5">
      <c r="A162" s="2">
        <v>45614</v>
      </c>
      <c r="B162">
        <v>21544.150390625</v>
      </c>
      <c r="C162">
        <v>3054.76684570312</v>
      </c>
      <c r="D162">
        <f t="shared" si="4"/>
        <v>-9.5554252195200438E-3</v>
      </c>
      <c r="E162">
        <f t="shared" si="5"/>
        <v>1.0315669569278812E-3</v>
      </c>
    </row>
    <row r="163" spans="1:5">
      <c r="A163" s="2">
        <v>45615</v>
      </c>
      <c r="B163">
        <v>21768.849609375</v>
      </c>
      <c r="C163">
        <v>3044.19262695312</v>
      </c>
      <c r="D163">
        <f t="shared" si="4"/>
        <v>1.0429708977884712E-2</v>
      </c>
      <c r="E163">
        <f t="shared" si="5"/>
        <v>-3.4615469147420701E-3</v>
      </c>
    </row>
    <row r="164" spans="1:5">
      <c r="A164" s="2">
        <v>45617</v>
      </c>
      <c r="B164">
        <v>21740.099609375</v>
      </c>
      <c r="C164">
        <v>3051.17651367187</v>
      </c>
      <c r="D164">
        <f t="shared" si="4"/>
        <v>-1.3206945022771661E-3</v>
      </c>
      <c r="E164">
        <f t="shared" si="5"/>
        <v>2.294167148594684E-3</v>
      </c>
    </row>
    <row r="165" spans="1:5">
      <c r="A165" s="2">
        <v>45618</v>
      </c>
      <c r="B165">
        <v>21962.05078125</v>
      </c>
      <c r="C165">
        <v>3115.26000976562</v>
      </c>
      <c r="D165">
        <f t="shared" si="4"/>
        <v>1.0209298754973865E-2</v>
      </c>
      <c r="E165">
        <f t="shared" si="5"/>
        <v>2.1002880628702189E-2</v>
      </c>
    </row>
    <row r="166" spans="1:5">
      <c r="A166" s="2">
        <v>45621</v>
      </c>
      <c r="B166">
        <v>22177.05078125</v>
      </c>
      <c r="C166">
        <v>3213.13134765625</v>
      </c>
      <c r="D166">
        <f t="shared" si="4"/>
        <v>9.7896140092506873E-3</v>
      </c>
      <c r="E166">
        <f t="shared" si="5"/>
        <v>3.1416747746199666E-2</v>
      </c>
    </row>
    <row r="167" spans="1:5">
      <c r="A167" s="2">
        <v>45622</v>
      </c>
      <c r="B167">
        <v>21961.75</v>
      </c>
      <c r="C167">
        <v>3172.75317382812</v>
      </c>
      <c r="D167">
        <f t="shared" si="4"/>
        <v>-9.7082692993619348E-3</v>
      </c>
      <c r="E167">
        <f t="shared" si="5"/>
        <v>-1.2566611650526829E-2</v>
      </c>
    </row>
    <row r="168" spans="1:5">
      <c r="A168" s="2">
        <v>45623</v>
      </c>
      <c r="B168">
        <v>21828.599609375</v>
      </c>
      <c r="C168">
        <v>3171.67138671875</v>
      </c>
      <c r="D168">
        <f t="shared" si="4"/>
        <v>-6.0628315423406605E-3</v>
      </c>
      <c r="E168">
        <f t="shared" si="5"/>
        <v>-3.4096163492754644E-4</v>
      </c>
    </row>
    <row r="169" spans="1:5">
      <c r="A169" s="2">
        <v>45624</v>
      </c>
      <c r="B169">
        <v>21728.599609375</v>
      </c>
      <c r="C169">
        <v>3150.5234375</v>
      </c>
      <c r="D169">
        <f t="shared" si="4"/>
        <v>-4.5811459181766181E-3</v>
      </c>
      <c r="E169">
        <f t="shared" si="5"/>
        <v>-6.6677617698057282E-3</v>
      </c>
    </row>
    <row r="170" spans="1:5">
      <c r="A170" s="2">
        <v>45625</v>
      </c>
      <c r="B170">
        <v>22240.19921875</v>
      </c>
      <c r="C170">
        <v>3269.78857421875</v>
      </c>
      <c r="D170">
        <f t="shared" si="4"/>
        <v>2.3544987646339884E-2</v>
      </c>
      <c r="E170">
        <f t="shared" si="5"/>
        <v>3.7855657666012843E-2</v>
      </c>
    </row>
    <row r="171" spans="1:5">
      <c r="A171" s="2">
        <v>45628</v>
      </c>
      <c r="B171">
        <v>22450.19921875</v>
      </c>
      <c r="C171">
        <v>3284.49389648437</v>
      </c>
      <c r="D171">
        <f t="shared" si="4"/>
        <v>9.4423614615356376E-3</v>
      </c>
      <c r="E171">
        <f t="shared" si="5"/>
        <v>4.4973312285591857E-3</v>
      </c>
    </row>
    <row r="172" spans="1:5">
      <c r="A172" s="2">
        <v>45629</v>
      </c>
      <c r="B172">
        <v>22445.69921875</v>
      </c>
      <c r="C172">
        <v>3308.05200195312</v>
      </c>
      <c r="D172">
        <f t="shared" si="4"/>
        <v>-2.0044365558420887E-4</v>
      </c>
      <c r="E172">
        <f t="shared" si="5"/>
        <v>7.1725222244942927E-3</v>
      </c>
    </row>
    <row r="173" spans="1:5">
      <c r="A173" s="2">
        <v>45630</v>
      </c>
      <c r="B173">
        <v>22422.900390625</v>
      </c>
      <c r="C173">
        <v>3297.77270507812</v>
      </c>
      <c r="D173">
        <f t="shared" si="4"/>
        <v>-1.0157325865774328E-3</v>
      </c>
      <c r="E173">
        <f t="shared" si="5"/>
        <v>-3.1073564952821056E-3</v>
      </c>
    </row>
    <row r="174" spans="1:5">
      <c r="A174" s="2">
        <v>45631</v>
      </c>
      <c r="B174">
        <v>22463.400390625</v>
      </c>
      <c r="C174">
        <v>3306.47802734375</v>
      </c>
      <c r="D174">
        <f t="shared" si="4"/>
        <v>1.8061891768886877E-3</v>
      </c>
      <c r="E174">
        <f t="shared" si="5"/>
        <v>2.6397581168116874E-3</v>
      </c>
    </row>
    <row r="175" spans="1:5">
      <c r="A175" s="2">
        <v>45632</v>
      </c>
      <c r="B175">
        <v>22434.75</v>
      </c>
      <c r="C175">
        <v>3277.95263671875</v>
      </c>
      <c r="D175">
        <f t="shared" si="4"/>
        <v>-1.2754253642274531E-3</v>
      </c>
      <c r="E175">
        <f t="shared" si="5"/>
        <v>-8.627122390985854E-3</v>
      </c>
    </row>
    <row r="176" spans="1:5">
      <c r="A176" s="2">
        <v>45635</v>
      </c>
      <c r="B176">
        <v>22309.099609375</v>
      </c>
      <c r="C176">
        <v>3281.10034179687</v>
      </c>
      <c r="D176">
        <f t="shared" si="4"/>
        <v>-5.6007038467110176E-3</v>
      </c>
      <c r="E176">
        <f t="shared" si="5"/>
        <v>9.602655764028577E-4</v>
      </c>
    </row>
    <row r="177" spans="1:5">
      <c r="A177" s="2">
        <v>45636</v>
      </c>
      <c r="B177">
        <v>22291.44921875</v>
      </c>
      <c r="C177">
        <v>3295.166015625</v>
      </c>
      <c r="D177">
        <f t="shared" si="4"/>
        <v>-7.9117449534282141E-4</v>
      </c>
      <c r="E177">
        <f t="shared" si="5"/>
        <v>4.2868770725942021E-3</v>
      </c>
    </row>
    <row r="178" spans="1:5">
      <c r="A178" s="2">
        <v>45637</v>
      </c>
      <c r="B178">
        <v>22302.599609375</v>
      </c>
      <c r="C178">
        <v>3319.60961914062</v>
      </c>
      <c r="D178">
        <f t="shared" si="4"/>
        <v>5.0020931863061977E-4</v>
      </c>
      <c r="E178">
        <f t="shared" si="5"/>
        <v>7.4180188189952962E-3</v>
      </c>
    </row>
    <row r="179" spans="1:5">
      <c r="A179" s="2">
        <v>45638</v>
      </c>
      <c r="B179">
        <v>22229.30078125</v>
      </c>
      <c r="C179">
        <v>3273.37866210937</v>
      </c>
      <c r="D179">
        <f t="shared" si="4"/>
        <v>-3.2865598364680546E-3</v>
      </c>
      <c r="E179">
        <f t="shared" si="5"/>
        <v>-1.3926624614137087E-2</v>
      </c>
    </row>
    <row r="180" spans="1:5">
      <c r="A180" s="2">
        <v>45639</v>
      </c>
      <c r="B180">
        <v>22157.349609375</v>
      </c>
      <c r="C180">
        <v>3291.08447265625</v>
      </c>
      <c r="D180">
        <f t="shared" si="4"/>
        <v>-3.2367717087929942E-3</v>
      </c>
      <c r="E180">
        <f t="shared" si="5"/>
        <v>5.4090321880055124E-3</v>
      </c>
    </row>
    <row r="181" spans="1:5">
      <c r="A181" s="2">
        <v>45642</v>
      </c>
      <c r="B181">
        <v>22255.55078125</v>
      </c>
      <c r="C181">
        <v>3307.01904296875</v>
      </c>
      <c r="D181">
        <f t="shared" si="4"/>
        <v>4.4319909017209386E-3</v>
      </c>
      <c r="E181">
        <f t="shared" si="5"/>
        <v>4.8417384740170868E-3</v>
      </c>
    </row>
    <row r="182" spans="1:5">
      <c r="A182" s="2">
        <v>45643</v>
      </c>
      <c r="B182">
        <v>22074.55078125</v>
      </c>
      <c r="C182">
        <v>3321.42919921875</v>
      </c>
      <c r="D182">
        <f t="shared" si="4"/>
        <v>-8.1328025434665961E-3</v>
      </c>
      <c r="E182">
        <f t="shared" si="5"/>
        <v>4.3574458032342722E-3</v>
      </c>
    </row>
    <row r="183" spans="1:5">
      <c r="A183" s="2">
        <v>45644</v>
      </c>
      <c r="B183">
        <v>22314.55078125</v>
      </c>
      <c r="C183">
        <v>3326.54418945312</v>
      </c>
      <c r="D183">
        <f t="shared" si="4"/>
        <v>1.0872248426629576E-2</v>
      </c>
      <c r="E183">
        <f t="shared" si="5"/>
        <v>1.5399967687323036E-3</v>
      </c>
    </row>
    <row r="184" spans="1:5">
      <c r="A184" s="2">
        <v>45645</v>
      </c>
      <c r="B184">
        <v>22697.900390625</v>
      </c>
      <c r="C184">
        <v>3412.36596679687</v>
      </c>
      <c r="D184">
        <f t="shared" si="4"/>
        <v>1.7179355889033309E-2</v>
      </c>
      <c r="E184">
        <f t="shared" si="5"/>
        <v>2.5799079301531538E-2</v>
      </c>
    </row>
    <row r="185" spans="1:5">
      <c r="A185" s="2">
        <v>45646</v>
      </c>
      <c r="B185">
        <v>22501.849609375</v>
      </c>
      <c r="C185">
        <v>3380.74243164062</v>
      </c>
      <c r="D185">
        <f t="shared" si="4"/>
        <v>-8.6373971986843153E-3</v>
      </c>
      <c r="E185">
        <f t="shared" si="5"/>
        <v>-9.2673340034317812E-3</v>
      </c>
    </row>
    <row r="186" spans="1:5">
      <c r="A186" s="2">
        <v>45649</v>
      </c>
      <c r="B186">
        <v>22572.05078125</v>
      </c>
      <c r="C186">
        <v>3364.36499023437</v>
      </c>
      <c r="D186">
        <f t="shared" si="4"/>
        <v>3.1197956209676166E-3</v>
      </c>
      <c r="E186">
        <f t="shared" si="5"/>
        <v>-4.8443327870743144E-3</v>
      </c>
    </row>
    <row r="187" spans="1:5">
      <c r="A187" s="2">
        <v>45650</v>
      </c>
      <c r="B187">
        <v>22558.900390625</v>
      </c>
      <c r="C187">
        <v>3343.806640625</v>
      </c>
      <c r="D187">
        <f t="shared" si="4"/>
        <v>-5.8259618288311133E-4</v>
      </c>
      <c r="E187">
        <f t="shared" si="5"/>
        <v>-6.1106181014973209E-3</v>
      </c>
    </row>
    <row r="188" spans="1:5">
      <c r="A188" s="2">
        <v>45652</v>
      </c>
      <c r="B188">
        <v>22712.55078125</v>
      </c>
      <c r="C188">
        <v>3365.34838867187</v>
      </c>
      <c r="D188">
        <f t="shared" si="4"/>
        <v>6.8110762477081484E-3</v>
      </c>
      <c r="E188">
        <f t="shared" si="5"/>
        <v>6.4422828117966686E-3</v>
      </c>
    </row>
    <row r="189" spans="1:5">
      <c r="A189" s="2">
        <v>45653</v>
      </c>
      <c r="B189">
        <v>23008.349609375</v>
      </c>
      <c r="C189">
        <v>3349.3642578125</v>
      </c>
      <c r="D189">
        <f t="shared" si="4"/>
        <v>1.3023584667962183E-2</v>
      </c>
      <c r="E189">
        <f t="shared" si="5"/>
        <v>-4.749621439840917E-3</v>
      </c>
    </row>
    <row r="190" spans="1:5">
      <c r="A190" s="2">
        <v>45656</v>
      </c>
      <c r="B190">
        <v>23241.150390625</v>
      </c>
      <c r="C190">
        <v>3314.34716796875</v>
      </c>
      <c r="D190">
        <f t="shared" si="4"/>
        <v>1.0118099959466142E-2</v>
      </c>
      <c r="E190">
        <f t="shared" si="5"/>
        <v>-1.0454846695778612E-2</v>
      </c>
    </row>
    <row r="191" spans="1:5">
      <c r="A191" s="2">
        <v>45657</v>
      </c>
      <c r="B191">
        <v>23412.25</v>
      </c>
      <c r="C191">
        <v>3305.0517578125</v>
      </c>
      <c r="D191">
        <f t="shared" si="4"/>
        <v>7.3619251413655513E-3</v>
      </c>
      <c r="E191">
        <f t="shared" si="5"/>
        <v>-2.8045976130939955E-3</v>
      </c>
    </row>
    <row r="192" spans="1:5">
      <c r="A192" s="2">
        <v>45658</v>
      </c>
      <c r="B192">
        <v>23459.75</v>
      </c>
      <c r="C192">
        <v>3362.59448242187</v>
      </c>
      <c r="D192">
        <f t="shared" si="4"/>
        <v>2.0288524170039191E-3</v>
      </c>
      <c r="E192">
        <f t="shared" si="5"/>
        <v>1.7410536604563053E-2</v>
      </c>
    </row>
    <row r="193" spans="1:5">
      <c r="A193" s="2">
        <v>45659</v>
      </c>
      <c r="B193">
        <v>23553.400390625</v>
      </c>
      <c r="C193">
        <v>3385.2177734375</v>
      </c>
      <c r="D193">
        <f t="shared" si="4"/>
        <v>3.9919602990227945E-3</v>
      </c>
      <c r="E193">
        <f t="shared" si="5"/>
        <v>6.7279272400803548E-3</v>
      </c>
    </row>
    <row r="194" spans="1:5">
      <c r="A194" s="2">
        <v>45660</v>
      </c>
      <c r="B194">
        <v>23263.5</v>
      </c>
      <c r="C194">
        <v>3347.1513671875</v>
      </c>
      <c r="D194">
        <f t="shared" si="4"/>
        <v>-1.2308218168803751E-2</v>
      </c>
      <c r="E194">
        <f t="shared" si="5"/>
        <v>-1.1244891406600907E-2</v>
      </c>
    </row>
    <row r="195" spans="1:5">
      <c r="A195" s="2">
        <v>45663</v>
      </c>
      <c r="B195">
        <v>23073.05078125</v>
      </c>
      <c r="C195">
        <v>3307.90405273437</v>
      </c>
      <c r="D195">
        <f t="shared" si="4"/>
        <v>-8.1866107314032717E-3</v>
      </c>
      <c r="E195">
        <f t="shared" si="5"/>
        <v>-1.1725586968631244E-2</v>
      </c>
    </row>
    <row r="196" spans="1:5">
      <c r="A196" s="2">
        <v>45664</v>
      </c>
      <c r="B196">
        <v>23228.55078125</v>
      </c>
      <c r="C196">
        <v>3348.380859375</v>
      </c>
      <c r="D196">
        <f t="shared" si="4"/>
        <v>6.739464211917956E-3</v>
      </c>
      <c r="E196">
        <f t="shared" si="5"/>
        <v>1.2236390776561728E-2</v>
      </c>
    </row>
    <row r="197" spans="1:5">
      <c r="A197" s="2">
        <v>45665</v>
      </c>
      <c r="B197">
        <v>23011.099609375</v>
      </c>
      <c r="C197">
        <v>3270.32983398437</v>
      </c>
      <c r="D197">
        <f t="shared" si="4"/>
        <v>-9.3613748839865545E-3</v>
      </c>
      <c r="E197">
        <f t="shared" si="5"/>
        <v>-2.331007990685946E-2</v>
      </c>
    </row>
    <row r="198" spans="1:5">
      <c r="A198" s="2">
        <v>45666</v>
      </c>
      <c r="B198">
        <v>22868.099609375</v>
      </c>
      <c r="C198">
        <v>3267.18188476562</v>
      </c>
      <c r="D198">
        <f t="shared" si="4"/>
        <v>-6.2143922901337608E-3</v>
      </c>
      <c r="E198">
        <f t="shared" si="5"/>
        <v>-9.6257850998311418E-4</v>
      </c>
    </row>
    <row r="199" spans="1:5">
      <c r="A199" s="2">
        <v>45667</v>
      </c>
      <c r="B199">
        <v>22380.849609375</v>
      </c>
      <c r="C199">
        <v>3220.85278320312</v>
      </c>
      <c r="D199">
        <f t="shared" si="4"/>
        <v>-2.1306973833551394E-2</v>
      </c>
      <c r="E199">
        <f t="shared" si="5"/>
        <v>-1.4180141539877429E-2</v>
      </c>
    </row>
    <row r="200" spans="1:5">
      <c r="A200" s="2">
        <v>45670</v>
      </c>
      <c r="B200">
        <v>21903.349609375</v>
      </c>
      <c r="C200">
        <v>3182.39306640625</v>
      </c>
      <c r="D200">
        <f t="shared" ref="D200:D252" si="6">(B200-B199)/B199</f>
        <v>-2.1335204352563204E-2</v>
      </c>
      <c r="E200">
        <f t="shared" ref="E200:E252" si="7">(C200-C199)/C199</f>
        <v>-1.1940849019066939E-2</v>
      </c>
    </row>
    <row r="201" spans="1:5">
      <c r="A201" s="2">
        <v>45671</v>
      </c>
      <c r="B201">
        <v>22203.900390625</v>
      </c>
      <c r="C201">
        <v>3199.1640625</v>
      </c>
      <c r="D201">
        <f t="shared" si="6"/>
        <v>1.3721681231867807E-2</v>
      </c>
      <c r="E201">
        <f t="shared" si="7"/>
        <v>5.2699323257038196E-3</v>
      </c>
    </row>
    <row r="202" spans="1:5">
      <c r="A202" s="2">
        <v>45672</v>
      </c>
      <c r="B202">
        <v>21972.69921875</v>
      </c>
      <c r="C202">
        <v>3162.42529296875</v>
      </c>
      <c r="D202">
        <f t="shared" si="6"/>
        <v>-1.0412637771182691E-2</v>
      </c>
      <c r="E202">
        <f t="shared" si="7"/>
        <v>-1.1483865414060802E-2</v>
      </c>
    </row>
    <row r="203" spans="1:5">
      <c r="A203" s="2">
        <v>45673</v>
      </c>
      <c r="B203">
        <v>21909.75</v>
      </c>
      <c r="C203">
        <v>3126.57177734375</v>
      </c>
      <c r="D203">
        <f t="shared" si="6"/>
        <v>-2.8648832864504622E-3</v>
      </c>
      <c r="E203">
        <f t="shared" si="7"/>
        <v>-1.133734785916231E-2</v>
      </c>
    </row>
    <row r="204" spans="1:5">
      <c r="A204" s="2">
        <v>45674</v>
      </c>
      <c r="B204">
        <v>22061.69921875</v>
      </c>
      <c r="C204">
        <v>3122.88330078125</v>
      </c>
      <c r="D204">
        <f t="shared" si="6"/>
        <v>6.9352328871849292E-3</v>
      </c>
      <c r="E204">
        <f t="shared" si="7"/>
        <v>-1.1797191381397389E-3</v>
      </c>
    </row>
    <row r="205" spans="1:5">
      <c r="A205" s="2">
        <v>45677</v>
      </c>
      <c r="B205">
        <v>22182.400390625</v>
      </c>
      <c r="C205">
        <v>3112.45678710937</v>
      </c>
      <c r="D205">
        <f t="shared" si="6"/>
        <v>5.4710732241520805E-3</v>
      </c>
      <c r="E205">
        <f t="shared" si="7"/>
        <v>-3.338745853638401E-3</v>
      </c>
    </row>
    <row r="206" spans="1:5">
      <c r="A206" s="2">
        <v>45678</v>
      </c>
      <c r="B206">
        <v>21882.900390625</v>
      </c>
      <c r="C206">
        <v>3104.63671875</v>
      </c>
      <c r="D206">
        <f t="shared" si="6"/>
        <v>-1.3501694799746666E-2</v>
      </c>
      <c r="E206">
        <f t="shared" si="7"/>
        <v>-2.5125066448336863E-3</v>
      </c>
    </row>
    <row r="207" spans="1:5">
      <c r="A207" s="2">
        <v>45679</v>
      </c>
      <c r="B207">
        <v>22034.94921875</v>
      </c>
      <c r="C207">
        <v>3115.06323242187</v>
      </c>
      <c r="D207">
        <f t="shared" si="6"/>
        <v>6.9482941205609222E-3</v>
      </c>
      <c r="E207">
        <f t="shared" si="7"/>
        <v>3.3583683427115935E-3</v>
      </c>
    </row>
    <row r="208" spans="1:5">
      <c r="A208" s="2">
        <v>45680</v>
      </c>
      <c r="B208">
        <v>22343.30078125</v>
      </c>
      <c r="C208">
        <v>3210.32788085937</v>
      </c>
      <c r="D208">
        <f t="shared" si="6"/>
        <v>1.3993749631045993E-2</v>
      </c>
      <c r="E208">
        <f t="shared" si="7"/>
        <v>3.0581930872534659E-2</v>
      </c>
    </row>
    <row r="209" spans="1:5">
      <c r="A209" s="2">
        <v>45681</v>
      </c>
      <c r="B209">
        <v>21872.400390625</v>
      </c>
      <c r="C209">
        <v>3195.22924804687</v>
      </c>
      <c r="D209">
        <f t="shared" si="6"/>
        <v>-2.1075685962217771E-2</v>
      </c>
      <c r="E209">
        <f t="shared" si="7"/>
        <v>-4.7031435332574997E-3</v>
      </c>
    </row>
    <row r="210" spans="1:5">
      <c r="A210" s="2">
        <v>45684</v>
      </c>
      <c r="B210">
        <v>21292.30078125</v>
      </c>
      <c r="C210">
        <v>3283.11694335937</v>
      </c>
      <c r="D210">
        <f t="shared" si="6"/>
        <v>-2.6521991140197106E-2</v>
      </c>
      <c r="E210">
        <f t="shared" si="7"/>
        <v>2.7505912249089052E-2</v>
      </c>
    </row>
    <row r="211" spans="1:5">
      <c r="A211" s="2">
        <v>45685</v>
      </c>
      <c r="B211">
        <v>20796.599609375</v>
      </c>
      <c r="C211">
        <v>3260.54248046875</v>
      </c>
      <c r="D211">
        <f t="shared" si="6"/>
        <v>-2.3280770686440539E-2</v>
      </c>
      <c r="E211">
        <f t="shared" si="7"/>
        <v>-6.875924092889979E-3</v>
      </c>
    </row>
    <row r="212" spans="1:5">
      <c r="A212" s="2">
        <v>45686</v>
      </c>
      <c r="B212">
        <v>21163.900390625</v>
      </c>
      <c r="C212">
        <v>3305.49438476562</v>
      </c>
      <c r="D212">
        <f t="shared" si="6"/>
        <v>1.7661578726765634E-2</v>
      </c>
      <c r="E212">
        <f t="shared" si="7"/>
        <v>1.3786633532959679E-2</v>
      </c>
    </row>
    <row r="213" spans="1:5">
      <c r="A213" s="2">
        <v>45687</v>
      </c>
      <c r="B213">
        <v>21419.650390625</v>
      </c>
      <c r="C213">
        <v>3303.28100585937</v>
      </c>
      <c r="D213">
        <f t="shared" si="6"/>
        <v>1.2084256459328731E-2</v>
      </c>
      <c r="E213">
        <f t="shared" si="7"/>
        <v>-6.696060100573858E-4</v>
      </c>
    </row>
    <row r="214" spans="1:5">
      <c r="A214" s="2">
        <v>45688</v>
      </c>
      <c r="B214">
        <v>21438.599609375</v>
      </c>
      <c r="C214">
        <v>3240.68041992187</v>
      </c>
      <c r="D214">
        <f t="shared" si="6"/>
        <v>8.8466517447426389E-4</v>
      </c>
      <c r="E214">
        <f t="shared" si="7"/>
        <v>-1.8951032572299749E-2</v>
      </c>
    </row>
    <row r="215" spans="1:5">
      <c r="A215" s="2">
        <v>45691</v>
      </c>
      <c r="B215">
        <v>21361.599609375</v>
      </c>
      <c r="C215">
        <v>3141.3017578125</v>
      </c>
      <c r="D215">
        <f t="shared" si="6"/>
        <v>-3.5916525054336223E-3</v>
      </c>
      <c r="E215">
        <f t="shared" si="7"/>
        <v>-3.0665986531237761E-2</v>
      </c>
    </row>
    <row r="216" spans="1:5">
      <c r="A216" s="2">
        <v>45692</v>
      </c>
      <c r="B216">
        <v>21733.94921875</v>
      </c>
      <c r="C216">
        <v>3076.07397460937</v>
      </c>
      <c r="D216">
        <f t="shared" si="6"/>
        <v>1.7430792458612804E-2</v>
      </c>
      <c r="E216">
        <f t="shared" si="7"/>
        <v>-2.0764570942892319E-2</v>
      </c>
    </row>
    <row r="217" spans="1:5">
      <c r="A217" s="2">
        <v>45693</v>
      </c>
      <c r="B217">
        <v>21868.5</v>
      </c>
      <c r="C217">
        <v>3087.62231445312</v>
      </c>
      <c r="D217">
        <f t="shared" si="6"/>
        <v>6.1908114303461373E-3</v>
      </c>
      <c r="E217">
        <f t="shared" si="7"/>
        <v>3.7542464645105036E-3</v>
      </c>
    </row>
    <row r="218" spans="1:5">
      <c r="A218" s="2">
        <v>45694</v>
      </c>
      <c r="B218">
        <v>22009.05078125</v>
      </c>
      <c r="C218">
        <v>3133.76782226562</v>
      </c>
      <c r="D218">
        <f t="shared" si="6"/>
        <v>6.427088334819489E-3</v>
      </c>
      <c r="E218">
        <f t="shared" si="7"/>
        <v>1.4945321387429244E-2</v>
      </c>
    </row>
    <row r="219" spans="1:5">
      <c r="A219" s="2">
        <v>45695</v>
      </c>
      <c r="B219">
        <v>22077</v>
      </c>
      <c r="C219">
        <v>3230.271484375</v>
      </c>
      <c r="D219">
        <f t="shared" si="6"/>
        <v>3.0873307270428696E-3</v>
      </c>
      <c r="E219">
        <f t="shared" si="7"/>
        <v>3.0794770890081688E-2</v>
      </c>
    </row>
    <row r="220" spans="1:5">
      <c r="A220" s="2">
        <v>45698</v>
      </c>
      <c r="B220">
        <v>21665.650390625</v>
      </c>
      <c r="C220">
        <v>3165.142578125</v>
      </c>
      <c r="D220">
        <f t="shared" si="6"/>
        <v>-1.8632495781809123E-2</v>
      </c>
      <c r="E220">
        <f t="shared" si="7"/>
        <v>-2.0162053426478883E-2</v>
      </c>
    </row>
    <row r="221" spans="1:5">
      <c r="A221" s="2">
        <v>45699</v>
      </c>
      <c r="B221">
        <v>21249.5</v>
      </c>
      <c r="C221">
        <v>3079.49365234375</v>
      </c>
      <c r="D221">
        <f t="shared" si="6"/>
        <v>-1.9207842050524063E-2</v>
      </c>
      <c r="E221">
        <f t="shared" si="7"/>
        <v>-2.7060052957231268E-2</v>
      </c>
    </row>
    <row r="222" spans="1:5">
      <c r="A222" s="2">
        <v>45700</v>
      </c>
      <c r="B222">
        <v>21142.05078125</v>
      </c>
      <c r="C222">
        <v>3033.298828125</v>
      </c>
      <c r="D222">
        <f t="shared" si="6"/>
        <v>-5.0565528012423821E-3</v>
      </c>
      <c r="E222">
        <f t="shared" si="7"/>
        <v>-1.5000785659548902E-2</v>
      </c>
    </row>
    <row r="223" spans="1:5">
      <c r="A223" s="2">
        <v>45701</v>
      </c>
      <c r="B223">
        <v>21427.099609375</v>
      </c>
      <c r="C223">
        <v>3047.52392578125</v>
      </c>
      <c r="D223">
        <f t="shared" si="6"/>
        <v>1.3482553375465254E-2</v>
      </c>
      <c r="E223">
        <f t="shared" si="7"/>
        <v>4.6896459802620522E-3</v>
      </c>
    </row>
    <row r="224" spans="1:5">
      <c r="A224" s="2">
        <v>45702</v>
      </c>
      <c r="B224">
        <v>20811.55078125</v>
      </c>
      <c r="C224">
        <v>2987.64916992187</v>
      </c>
      <c r="D224">
        <f t="shared" si="6"/>
        <v>-2.872758513035889E-2</v>
      </c>
      <c r="E224">
        <f t="shared" si="7"/>
        <v>-1.9647017486181268E-2</v>
      </c>
    </row>
    <row r="225" spans="1:5">
      <c r="A225" s="2">
        <v>45705</v>
      </c>
      <c r="B225">
        <v>21076</v>
      </c>
      <c r="C225">
        <v>3051.24145507812</v>
      </c>
      <c r="D225">
        <f t="shared" si="6"/>
        <v>1.2706848304079935E-2</v>
      </c>
      <c r="E225">
        <f t="shared" si="7"/>
        <v>2.1285057762626462E-2</v>
      </c>
    </row>
    <row r="226" spans="1:5">
      <c r="A226" s="2">
        <v>45706</v>
      </c>
      <c r="B226">
        <v>20969.19921875</v>
      </c>
      <c r="C226">
        <v>3015.35620117187</v>
      </c>
      <c r="D226">
        <f t="shared" si="6"/>
        <v>-5.0674122817422661E-3</v>
      </c>
      <c r="E226">
        <f t="shared" si="7"/>
        <v>-1.1760869939193732E-2</v>
      </c>
    </row>
    <row r="227" spans="1:5">
      <c r="A227" s="2">
        <v>45707</v>
      </c>
      <c r="B227">
        <v>20820</v>
      </c>
      <c r="C227">
        <v>3093.42163085937</v>
      </c>
      <c r="D227">
        <f t="shared" si="6"/>
        <v>-7.1151605358678047E-3</v>
      </c>
      <c r="E227">
        <f t="shared" si="7"/>
        <v>2.5889289516495967E-2</v>
      </c>
    </row>
    <row r="228" spans="1:5">
      <c r="A228" s="2">
        <v>45708</v>
      </c>
      <c r="B228">
        <v>20785.75</v>
      </c>
      <c r="C228">
        <v>3069.03540039062</v>
      </c>
      <c r="D228">
        <f t="shared" si="6"/>
        <v>-1.6450528338136407E-3</v>
      </c>
      <c r="E228">
        <f t="shared" si="7"/>
        <v>-7.8832546541595643E-3</v>
      </c>
    </row>
    <row r="229" spans="1:5">
      <c r="A229" s="2">
        <v>45709</v>
      </c>
      <c r="B229">
        <v>20385.650390625</v>
      </c>
      <c r="C229">
        <v>3012.92749023437</v>
      </c>
      <c r="D229">
        <f t="shared" si="6"/>
        <v>-1.9248745384458102E-2</v>
      </c>
      <c r="E229">
        <f t="shared" si="7"/>
        <v>-1.8281936451143153E-2</v>
      </c>
    </row>
    <row r="230" spans="1:5">
      <c r="A230" s="2">
        <v>45712</v>
      </c>
      <c r="B230">
        <v>20389.69921875</v>
      </c>
      <c r="C230">
        <v>2997.01708984375</v>
      </c>
      <c r="D230">
        <f t="shared" si="6"/>
        <v>1.9861167279028706E-4</v>
      </c>
      <c r="E230">
        <f t="shared" si="7"/>
        <v>-5.2807113487428657E-3</v>
      </c>
    </row>
    <row r="231" spans="1:5">
      <c r="A231" s="2">
        <v>45713</v>
      </c>
      <c r="B231">
        <v>20249.150390625</v>
      </c>
      <c r="C231">
        <v>3004.69970703125</v>
      </c>
      <c r="D231">
        <f t="shared" si="6"/>
        <v>-6.893129055859433E-3</v>
      </c>
      <c r="E231">
        <f t="shared" si="7"/>
        <v>2.5634212142248858E-3</v>
      </c>
    </row>
    <row r="232" spans="1:5">
      <c r="A232" s="2">
        <v>45715</v>
      </c>
      <c r="B232">
        <v>20201.25</v>
      </c>
      <c r="C232">
        <v>2961.03247070312</v>
      </c>
      <c r="D232">
        <f t="shared" si="6"/>
        <v>-2.3655506379752621E-3</v>
      </c>
      <c r="E232">
        <f t="shared" si="7"/>
        <v>-1.4532978528917547E-2</v>
      </c>
    </row>
    <row r="233" spans="1:5">
      <c r="A233" s="2">
        <v>45716</v>
      </c>
      <c r="B233">
        <v>19813.5</v>
      </c>
      <c r="C233">
        <v>2922.47094726562</v>
      </c>
      <c r="D233">
        <f t="shared" si="6"/>
        <v>-1.9194356784852422E-2</v>
      </c>
      <c r="E233">
        <f t="shared" si="7"/>
        <v>-1.3022999179858122E-2</v>
      </c>
    </row>
    <row r="234" spans="1:5">
      <c r="A234" s="2">
        <v>45719</v>
      </c>
      <c r="B234">
        <v>19879.80078125</v>
      </c>
      <c r="C234">
        <v>2933.52392578125</v>
      </c>
      <c r="D234">
        <f t="shared" si="6"/>
        <v>3.3462427763898354E-3</v>
      </c>
      <c r="E234">
        <f t="shared" si="7"/>
        <v>3.782066174506066E-3</v>
      </c>
    </row>
    <row r="235" spans="1:5">
      <c r="A235" s="2">
        <v>45720</v>
      </c>
      <c r="B235">
        <v>19820.650390625</v>
      </c>
      <c r="C235">
        <v>2904.82543945312</v>
      </c>
      <c r="D235">
        <f t="shared" si="6"/>
        <v>-2.9754015785102223E-3</v>
      </c>
      <c r="E235">
        <f t="shared" si="7"/>
        <v>-9.7829392410655313E-3</v>
      </c>
    </row>
    <row r="236" spans="1:5">
      <c r="A236" s="2">
        <v>45721</v>
      </c>
      <c r="B236">
        <v>20126.80078125</v>
      </c>
      <c r="C236">
        <v>2952.85424804687</v>
      </c>
      <c r="D236">
        <f t="shared" si="6"/>
        <v>1.544603151720019E-2</v>
      </c>
      <c r="E236">
        <f t="shared" si="7"/>
        <v>1.6534146231792914E-2</v>
      </c>
    </row>
    <row r="237" spans="1:5">
      <c r="A237" s="2">
        <v>45722</v>
      </c>
      <c r="B237">
        <v>20423.349609375</v>
      </c>
      <c r="C237">
        <v>3032.40673828125</v>
      </c>
      <c r="D237">
        <f t="shared" si="6"/>
        <v>1.4734027098895071E-2</v>
      </c>
      <c r="E237">
        <f t="shared" si="7"/>
        <v>2.6940879417600459E-2</v>
      </c>
    </row>
    <row r="238" spans="1:5">
      <c r="A238" s="2">
        <v>45723</v>
      </c>
      <c r="B238">
        <v>20378.30078125</v>
      </c>
      <c r="C238">
        <v>3047.078125</v>
      </c>
      <c r="D238">
        <f t="shared" si="6"/>
        <v>-2.2057512105811026E-3</v>
      </c>
      <c r="E238">
        <f t="shared" si="7"/>
        <v>4.8381988252227844E-3</v>
      </c>
    </row>
    <row r="239" spans="1:5">
      <c r="A239" s="2">
        <v>45726</v>
      </c>
      <c r="B239">
        <v>20256.55078125</v>
      </c>
      <c r="C239">
        <v>3044.40161132812</v>
      </c>
      <c r="D239">
        <f t="shared" si="6"/>
        <v>-5.9744922457922369E-3</v>
      </c>
      <c r="E239">
        <f t="shared" si="7"/>
        <v>-8.7838695369190842E-4</v>
      </c>
    </row>
    <row r="240" spans="1:5">
      <c r="A240" s="2">
        <v>45727</v>
      </c>
      <c r="B240">
        <v>20332.099609375</v>
      </c>
      <c r="C240">
        <v>3031.36572265625</v>
      </c>
      <c r="D240">
        <f t="shared" si="6"/>
        <v>3.7295998188857501E-3</v>
      </c>
      <c r="E240">
        <f t="shared" si="7"/>
        <v>-4.2819214861021873E-3</v>
      </c>
    </row>
    <row r="241" spans="1:5">
      <c r="A241" s="2">
        <v>45728</v>
      </c>
      <c r="B241">
        <v>20424</v>
      </c>
      <c r="C241">
        <v>3069.58056640625</v>
      </c>
      <c r="D241">
        <f t="shared" si="6"/>
        <v>4.5199655908937869E-3</v>
      </c>
      <c r="E241">
        <f t="shared" si="7"/>
        <v>1.2606477491113821E-2</v>
      </c>
    </row>
    <row r="242" spans="1:5">
      <c r="A242" s="2">
        <v>45729</v>
      </c>
      <c r="B242">
        <v>20386.849609375</v>
      </c>
      <c r="C242">
        <v>3029.482421875</v>
      </c>
      <c r="D242">
        <f t="shared" si="6"/>
        <v>-1.8189576295045045E-3</v>
      </c>
      <c r="E242">
        <f t="shared" si="7"/>
        <v>-1.3063069583540986E-2</v>
      </c>
    </row>
    <row r="243" spans="1:5">
      <c r="A243" s="2">
        <v>45733</v>
      </c>
      <c r="B243">
        <v>20703.94921875</v>
      </c>
      <c r="C243">
        <v>3039.69287109375</v>
      </c>
      <c r="D243">
        <f t="shared" si="6"/>
        <v>1.5554125107646847E-2</v>
      </c>
      <c r="E243">
        <f t="shared" si="7"/>
        <v>3.3703609385627572E-3</v>
      </c>
    </row>
    <row r="244" spans="1:5">
      <c r="A244" s="2">
        <v>45734</v>
      </c>
      <c r="B244">
        <v>21041.30078125</v>
      </c>
      <c r="C244">
        <v>3039.69287109375</v>
      </c>
      <c r="D244">
        <f t="shared" si="6"/>
        <v>1.6294068292752872E-2</v>
      </c>
      <c r="E244">
        <f t="shared" si="7"/>
        <v>0</v>
      </c>
    </row>
    <row r="245" spans="1:5">
      <c r="A245" s="2">
        <v>45735</v>
      </c>
      <c r="B245">
        <v>21145.650390625</v>
      </c>
      <c r="C245">
        <v>3163.556640625</v>
      </c>
      <c r="D245">
        <f t="shared" si="6"/>
        <v>4.9592755913639344E-3</v>
      </c>
      <c r="E245">
        <f t="shared" si="7"/>
        <v>4.0748777848296572E-2</v>
      </c>
    </row>
    <row r="246" spans="1:5">
      <c r="A246" s="2">
        <v>45736</v>
      </c>
      <c r="B246">
        <v>21340.599609375</v>
      </c>
      <c r="C246">
        <v>3202.66357421875</v>
      </c>
      <c r="D246">
        <f t="shared" si="6"/>
        <v>9.2193531600442725E-3</v>
      </c>
      <c r="E246">
        <f t="shared" si="7"/>
        <v>1.2361698567857455E-2</v>
      </c>
    </row>
    <row r="247" spans="1:5">
      <c r="A247" s="2">
        <v>45737</v>
      </c>
      <c r="B247">
        <v>21625.900390625</v>
      </c>
      <c r="C247">
        <v>3195.080078125</v>
      </c>
      <c r="D247">
        <f t="shared" si="6"/>
        <v>1.3368920577314349E-2</v>
      </c>
      <c r="E247">
        <f t="shared" si="7"/>
        <v>-2.3678715912581918E-3</v>
      </c>
    </row>
    <row r="248" spans="1:5">
      <c r="A248" s="2">
        <v>45740</v>
      </c>
      <c r="B248">
        <v>21771.150390625</v>
      </c>
      <c r="C248">
        <v>3243.009765625</v>
      </c>
      <c r="D248">
        <f t="shared" si="6"/>
        <v>6.7164833545135085E-3</v>
      </c>
      <c r="E248">
        <f t="shared" si="7"/>
        <v>1.5001091155163487E-2</v>
      </c>
    </row>
    <row r="249" spans="1:5">
      <c r="A249" s="2">
        <v>45741</v>
      </c>
      <c r="B249">
        <v>21542.5</v>
      </c>
      <c r="C249">
        <v>3216.83935546875</v>
      </c>
      <c r="D249">
        <f t="shared" si="6"/>
        <v>-1.0502448723309563E-2</v>
      </c>
      <c r="E249">
        <f t="shared" si="7"/>
        <v>-8.0697907337958265E-3</v>
      </c>
    </row>
    <row r="250" spans="1:5">
      <c r="A250" s="2">
        <v>45742</v>
      </c>
      <c r="B250">
        <v>21360.599609375</v>
      </c>
      <c r="C250">
        <v>3191.11499023437</v>
      </c>
      <c r="D250">
        <f t="shared" si="6"/>
        <v>-8.4437920680051053E-3</v>
      </c>
      <c r="E250">
        <f t="shared" si="7"/>
        <v>-7.9967826775830739E-3</v>
      </c>
    </row>
    <row r="251" spans="1:5">
      <c r="A251" s="2">
        <v>45743</v>
      </c>
      <c r="B251">
        <v>21275.150390625</v>
      </c>
      <c r="C251">
        <v>3205.04248046875</v>
      </c>
      <c r="D251">
        <f t="shared" si="6"/>
        <v>-4.0003192940565677E-3</v>
      </c>
      <c r="E251">
        <f t="shared" si="7"/>
        <v>4.364458904490027E-3</v>
      </c>
    </row>
    <row r="252" spans="1:5">
      <c r="A252" s="2">
        <v>45744</v>
      </c>
      <c r="B252">
        <v>21137.44921875</v>
      </c>
      <c r="C252">
        <v>3199.8876953125</v>
      </c>
      <c r="D252">
        <f t="shared" si="6"/>
        <v>-6.4723947585197186E-3</v>
      </c>
      <c r="E252">
        <f t="shared" si="7"/>
        <v>-1.6083359854550485E-3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E145A-15FB-444A-93B1-373B5C453651}">
  <dimension ref="A1:X252"/>
  <sheetViews>
    <sheetView topLeftCell="G1" workbookViewId="0">
      <selection activeCell="N6" sqref="N6"/>
    </sheetView>
  </sheetViews>
  <sheetFormatPr defaultRowHeight="15" customHeight="1"/>
  <cols>
    <col min="2" max="2" width="47.5546875" bestFit="1" customWidth="1"/>
    <col min="3" max="3" width="9.5546875" bestFit="1" customWidth="1"/>
    <col min="4" max="5" width="2" bestFit="1" customWidth="1"/>
    <col min="6" max="6" width="53.88671875" bestFit="1" customWidth="1"/>
    <col min="7" max="7" width="9.5546875" bestFit="1" customWidth="1"/>
    <col min="8" max="9" width="9.5546875" customWidth="1"/>
    <col min="10" max="10" width="17" bestFit="1" customWidth="1"/>
    <col min="11" max="11" width="12.33203125" bestFit="1" customWidth="1"/>
    <col min="12" max="12" width="21.109375" bestFit="1" customWidth="1"/>
    <col min="13" max="13" width="75.109375" bestFit="1" customWidth="1"/>
    <col min="16" max="16" width="11.109375" bestFit="1" customWidth="1"/>
    <col min="17" max="17" width="13.44140625" bestFit="1" customWidth="1"/>
    <col min="23" max="23" width="27" bestFit="1" customWidth="1"/>
    <col min="24" max="24" width="16.44140625" bestFit="1" customWidth="1"/>
  </cols>
  <sheetData>
    <row r="1" spans="1:24" ht="14.4">
      <c r="A1" s="3"/>
      <c r="B1" s="3"/>
      <c r="C1" s="3"/>
      <c r="D1" s="3"/>
      <c r="E1" s="3"/>
      <c r="F1" s="3"/>
      <c r="G1" s="3"/>
      <c r="H1" s="3"/>
      <c r="I1" s="3"/>
      <c r="J1" s="3"/>
    </row>
    <row r="2" spans="1:24" ht="21">
      <c r="A2" s="3"/>
      <c r="B2" s="3"/>
      <c r="C2" s="70" t="s">
        <v>162</v>
      </c>
      <c r="D2" s="71"/>
      <c r="E2" s="71"/>
      <c r="F2" s="72"/>
      <c r="G2" s="3"/>
      <c r="H2" s="3"/>
      <c r="I2" s="3"/>
      <c r="J2" s="3"/>
      <c r="P2" s="73" t="s">
        <v>160</v>
      </c>
      <c r="Q2" s="73"/>
      <c r="R2" s="73"/>
      <c r="S2" s="73"/>
      <c r="T2" s="73"/>
    </row>
    <row r="3" spans="1:24" ht="14.4">
      <c r="A3" s="3"/>
      <c r="B3" s="3"/>
      <c r="C3" s="3"/>
      <c r="D3" s="3"/>
      <c r="E3" s="3"/>
      <c r="F3" s="3"/>
      <c r="G3" s="3"/>
      <c r="H3" s="3"/>
      <c r="I3" s="3"/>
      <c r="J3" s="3"/>
      <c r="P3" s="56" t="s">
        <v>1</v>
      </c>
      <c r="Q3" s="56" t="s">
        <v>2</v>
      </c>
      <c r="R3" s="56" t="s">
        <v>2</v>
      </c>
      <c r="S3" s="56" t="s">
        <v>3</v>
      </c>
      <c r="T3" s="56" t="s">
        <v>3</v>
      </c>
      <c r="W3" s="57" t="s">
        <v>4</v>
      </c>
      <c r="X3" s="57" t="s">
        <v>161</v>
      </c>
    </row>
    <row r="4" spans="1:24" ht="14.4">
      <c r="A4" s="3"/>
      <c r="B4" s="4" t="s">
        <v>163</v>
      </c>
      <c r="C4" s="5">
        <v>46105</v>
      </c>
      <c r="D4" s="3" t="s">
        <v>16</v>
      </c>
      <c r="E4" s="3"/>
      <c r="F4" s="4" t="s">
        <v>164</v>
      </c>
      <c r="G4" s="5">
        <v>46105</v>
      </c>
      <c r="H4" s="28"/>
      <c r="I4" s="28"/>
      <c r="J4" s="3" t="s">
        <v>16</v>
      </c>
      <c r="P4" s="57" t="s">
        <v>6</v>
      </c>
      <c r="Q4" s="57" t="s">
        <v>7</v>
      </c>
      <c r="R4" s="57" t="s">
        <v>160</v>
      </c>
      <c r="S4" s="57" t="s">
        <v>8</v>
      </c>
      <c r="T4" s="57" t="s">
        <v>9</v>
      </c>
      <c r="W4" s="41">
        <f>_xlfn.COVARIANCE.S(S7:S252,T7:T252)</f>
        <v>8.4229258959745706E-5</v>
      </c>
      <c r="X4" s="41">
        <f>_xlfn.VAR.S(S7:S252)</f>
        <v>1.0123143075821166E-4</v>
      </c>
    </row>
    <row r="5" spans="1:24" ht="14.4">
      <c r="A5" s="3"/>
      <c r="B5" s="7" t="s">
        <v>16</v>
      </c>
      <c r="C5" s="8" t="s">
        <v>17</v>
      </c>
      <c r="D5" s="3" t="s">
        <v>16</v>
      </c>
      <c r="E5" s="3"/>
      <c r="F5" s="7" t="s">
        <v>16</v>
      </c>
      <c r="G5" s="8" t="s">
        <v>17</v>
      </c>
      <c r="H5" s="3"/>
      <c r="I5" s="3"/>
      <c r="J5" s="3" t="s">
        <v>16</v>
      </c>
      <c r="P5" s="57" t="s">
        <v>10</v>
      </c>
      <c r="Q5" s="57"/>
      <c r="R5" s="57"/>
      <c r="S5" s="57"/>
      <c r="T5" s="57"/>
    </row>
    <row r="6" spans="1:24" ht="14.4">
      <c r="A6" s="3"/>
      <c r="B6" s="7" t="s">
        <v>18</v>
      </c>
      <c r="C6" s="8" t="s">
        <v>19</v>
      </c>
      <c r="D6" s="3" t="s">
        <v>16</v>
      </c>
      <c r="E6" s="3"/>
      <c r="F6" s="7" t="s">
        <v>20</v>
      </c>
      <c r="G6" s="8" t="s">
        <v>19</v>
      </c>
      <c r="H6" s="3"/>
      <c r="I6" s="3"/>
      <c r="J6" s="3" t="s">
        <v>16</v>
      </c>
      <c r="P6" s="53">
        <v>45383</v>
      </c>
      <c r="Q6" s="41">
        <v>19207.900390625</v>
      </c>
      <c r="R6" s="41">
        <v>2626.03491210937</v>
      </c>
      <c r="S6" s="41"/>
      <c r="T6" s="41"/>
      <c r="W6" s="57" t="s">
        <v>11</v>
      </c>
    </row>
    <row r="7" spans="1:24" ht="14.4">
      <c r="A7" s="3"/>
      <c r="B7" s="7" t="s">
        <v>21</v>
      </c>
      <c r="C7" s="8" t="s">
        <v>19</v>
      </c>
      <c r="D7" s="3" t="s">
        <v>16</v>
      </c>
      <c r="E7" s="3"/>
      <c r="F7" s="7" t="s">
        <v>22</v>
      </c>
      <c r="G7" s="10">
        <v>10562.31</v>
      </c>
      <c r="H7" s="21"/>
      <c r="I7" s="21"/>
      <c r="J7" s="3" t="s">
        <v>16</v>
      </c>
      <c r="P7" s="53">
        <v>45384</v>
      </c>
      <c r="Q7" s="41">
        <v>19185.150390625</v>
      </c>
      <c r="R7" s="41">
        <v>2619.36010742187</v>
      </c>
      <c r="S7" s="41">
        <f>(Q7-Q6)/Q6</f>
        <v>-1.1844084744995777E-3</v>
      </c>
      <c r="T7" s="41">
        <f>(R7-R6)/R6</f>
        <v>-2.5417806354061166E-3</v>
      </c>
      <c r="W7" s="41">
        <f>W4/X4</f>
        <v>0.8320465129147967</v>
      </c>
    </row>
    <row r="8" spans="1:24" ht="14.4">
      <c r="A8" s="3"/>
      <c r="B8" s="7" t="s">
        <v>23</v>
      </c>
      <c r="C8" s="8">
        <v>169.23</v>
      </c>
      <c r="D8" s="3" t="s">
        <v>16</v>
      </c>
      <c r="E8" s="3"/>
      <c r="F8" s="7" t="s">
        <v>24</v>
      </c>
      <c r="G8" s="8">
        <v>0</v>
      </c>
      <c r="H8" s="3"/>
      <c r="I8" s="3"/>
      <c r="J8" s="3" t="s">
        <v>16</v>
      </c>
      <c r="P8" s="53">
        <v>45385</v>
      </c>
      <c r="Q8" s="41">
        <v>19153.05078125</v>
      </c>
      <c r="R8" s="41">
        <v>2540.9326171875</v>
      </c>
      <c r="S8" s="41">
        <f t="shared" ref="S8:T71" si="0">(Q8-Q7)/Q7</f>
        <v>-1.6731486968528414E-3</v>
      </c>
      <c r="T8" s="41">
        <f t="shared" si="0"/>
        <v>-2.9941469297080726E-2</v>
      </c>
    </row>
    <row r="9" spans="1:24" ht="14.4">
      <c r="A9" s="3"/>
      <c r="B9" s="7" t="s">
        <v>25</v>
      </c>
      <c r="C9" s="8">
        <v>169.23</v>
      </c>
      <c r="D9" s="3" t="s">
        <v>16</v>
      </c>
      <c r="E9" s="3"/>
      <c r="F9" s="7" t="s">
        <v>26</v>
      </c>
      <c r="G9" s="10">
        <v>10562.31</v>
      </c>
      <c r="H9" s="21"/>
      <c r="I9" s="21"/>
      <c r="J9" s="3" t="s">
        <v>16</v>
      </c>
      <c r="P9" s="53">
        <v>45386</v>
      </c>
      <c r="Q9" s="41">
        <v>19125.19921875</v>
      </c>
      <c r="R9" s="41">
        <v>2490.77490234375</v>
      </c>
      <c r="S9" s="41">
        <f t="shared" si="0"/>
        <v>-1.4541580251677432E-3</v>
      </c>
      <c r="T9" s="41">
        <f t="shared" si="0"/>
        <v>-1.9739883893209426E-2</v>
      </c>
      <c r="W9" s="57" t="s">
        <v>12</v>
      </c>
    </row>
    <row r="10" spans="1:24" ht="14.4">
      <c r="A10" s="3"/>
      <c r="B10" s="7" t="s">
        <v>27</v>
      </c>
      <c r="C10" s="10">
        <v>6686.92</v>
      </c>
      <c r="D10" s="3" t="s">
        <v>16</v>
      </c>
      <c r="E10" s="3"/>
      <c r="F10" s="7" t="s">
        <v>28</v>
      </c>
      <c r="G10" s="10">
        <v>10727.84</v>
      </c>
      <c r="H10" s="21"/>
      <c r="I10" s="21"/>
      <c r="J10" s="3"/>
      <c r="P10" s="53">
        <v>45387</v>
      </c>
      <c r="Q10" s="41">
        <v>19160.75</v>
      </c>
      <c r="R10" s="41">
        <v>2529.59594726562</v>
      </c>
      <c r="S10" s="41">
        <f t="shared" si="0"/>
        <v>1.8588450161160495E-3</v>
      </c>
      <c r="T10" s="41">
        <f t="shared" si="0"/>
        <v>1.5585930661715144E-2</v>
      </c>
      <c r="W10" s="41">
        <f>AVERAGE(S7:S252)</f>
        <v>4.3962859287504746E-4</v>
      </c>
    </row>
    <row r="11" spans="1:24" ht="14.4">
      <c r="A11" s="3"/>
      <c r="B11" s="7" t="s">
        <v>29</v>
      </c>
      <c r="C11" s="10">
        <v>6686.92</v>
      </c>
      <c r="D11" s="3" t="s">
        <v>16</v>
      </c>
      <c r="E11" s="3"/>
      <c r="F11" s="7" t="s">
        <v>30</v>
      </c>
      <c r="G11" s="8">
        <v>57.91</v>
      </c>
      <c r="H11" s="3"/>
      <c r="I11" s="3"/>
      <c r="J11" s="3"/>
      <c r="P11" s="53">
        <v>45390</v>
      </c>
      <c r="Q11" s="41">
        <v>19218.849609375</v>
      </c>
      <c r="R11" s="41">
        <v>2549.42358398437</v>
      </c>
      <c r="S11" s="41">
        <f t="shared" si="0"/>
        <v>3.0322200005219002E-3</v>
      </c>
      <c r="T11" s="41">
        <f t="shared" si="0"/>
        <v>7.8382623676254651E-3</v>
      </c>
    </row>
    <row r="12" spans="1:24" ht="14.4">
      <c r="A12" s="3"/>
      <c r="B12" s="7" t="s">
        <v>31</v>
      </c>
      <c r="C12" s="10">
        <v>6856.15</v>
      </c>
      <c r="D12" s="3" t="s">
        <v>16</v>
      </c>
      <c r="E12" s="3"/>
      <c r="F12" s="7" t="s">
        <v>32</v>
      </c>
      <c r="G12" s="10">
        <v>10785.75</v>
      </c>
      <c r="H12" s="21"/>
      <c r="I12" s="21"/>
      <c r="J12" s="3" t="s">
        <v>16</v>
      </c>
      <c r="P12" s="53">
        <v>45391</v>
      </c>
      <c r="Q12" s="41">
        <v>19182.30078125</v>
      </c>
      <c r="R12" s="41">
        <v>2530.57739257812</v>
      </c>
      <c r="S12" s="41">
        <f t="shared" si="0"/>
        <v>-1.901717785812289E-3</v>
      </c>
      <c r="T12" s="41">
        <f t="shared" si="0"/>
        <v>-7.392334300444575E-3</v>
      </c>
    </row>
    <row r="13" spans="1:24" ht="14.4">
      <c r="A13" s="3"/>
      <c r="B13" s="7" t="s">
        <v>33</v>
      </c>
      <c r="C13" s="8">
        <v>0</v>
      </c>
      <c r="D13" s="3" t="s">
        <v>16</v>
      </c>
      <c r="E13" s="3"/>
      <c r="F13" s="7" t="s">
        <v>34</v>
      </c>
      <c r="G13" s="8" t="s">
        <v>19</v>
      </c>
      <c r="H13" s="3"/>
      <c r="I13" s="3"/>
      <c r="J13" s="51" t="s">
        <v>35</v>
      </c>
      <c r="K13" s="45">
        <f>C15 + C21</f>
        <v>3937.42</v>
      </c>
      <c r="L13" s="46" t="str">
        <f ca="1">_xlfn.FORMULATEXT(K13)</f>
        <v>=C15 + C21</v>
      </c>
      <c r="M13" s="46" t="s">
        <v>36</v>
      </c>
      <c r="P13" s="53">
        <v>45392</v>
      </c>
      <c r="Q13" s="41">
        <v>19117</v>
      </c>
      <c r="R13" s="41">
        <v>2531.41186523437</v>
      </c>
      <c r="S13" s="41">
        <f t="shared" si="0"/>
        <v>-3.4042204840114454E-3</v>
      </c>
      <c r="T13" s="41">
        <f t="shared" si="0"/>
        <v>3.29755833074858E-4</v>
      </c>
    </row>
    <row r="14" spans="1:24" ht="14.4">
      <c r="A14" s="3"/>
      <c r="B14" s="7" t="s">
        <v>37</v>
      </c>
      <c r="C14" s="8" t="s">
        <v>19</v>
      </c>
      <c r="D14" s="3" t="s">
        <v>16</v>
      </c>
      <c r="E14" s="3"/>
      <c r="F14" s="7" t="s">
        <v>38</v>
      </c>
      <c r="G14" s="10">
        <v>1657.59</v>
      </c>
      <c r="H14" s="21"/>
      <c r="I14" s="21"/>
      <c r="J14" s="52" t="s">
        <v>39</v>
      </c>
      <c r="K14" s="47">
        <f>K27 / K28</f>
        <v>2.9109610558567747</v>
      </c>
      <c r="L14" s="48" t="str">
        <f ca="1">_xlfn.FORMULATEXT(K14)</f>
        <v>=K27 / K28</v>
      </c>
      <c r="M14" s="48" t="s">
        <v>40</v>
      </c>
      <c r="P14" s="53">
        <v>45394</v>
      </c>
      <c r="Q14" s="41">
        <v>18788.650390625</v>
      </c>
      <c r="R14" s="41">
        <v>2530.1845703125</v>
      </c>
      <c r="S14" s="41">
        <f t="shared" si="0"/>
        <v>-1.717579167102579E-2</v>
      </c>
      <c r="T14" s="41">
        <f t="shared" si="0"/>
        <v>-4.8482625001695212E-4</v>
      </c>
    </row>
    <row r="15" spans="1:24" ht="14.4">
      <c r="A15" s="3"/>
      <c r="B15" s="7" t="s">
        <v>41</v>
      </c>
      <c r="C15" s="10">
        <v>1603.78</v>
      </c>
      <c r="D15" s="3" t="s">
        <v>16</v>
      </c>
      <c r="E15" s="3"/>
      <c r="F15" s="7" t="s">
        <v>42</v>
      </c>
      <c r="G15" s="10">
        <v>1183.6300000000001</v>
      </c>
      <c r="H15" s="21"/>
      <c r="I15" s="21"/>
      <c r="J15" s="51" t="s">
        <v>43</v>
      </c>
      <c r="K15" s="49">
        <f>K28 / K29</f>
        <v>1.1503160991620289</v>
      </c>
      <c r="L15" s="46" t="str">
        <f t="shared" ref="L15:L21" ca="1" si="1">_xlfn.FORMULATEXT(K15)</f>
        <v>=K28 / K29</v>
      </c>
      <c r="M15" s="46" t="s">
        <v>44</v>
      </c>
      <c r="P15" s="53">
        <v>45397</v>
      </c>
      <c r="Q15" s="41">
        <v>18617.650390625</v>
      </c>
      <c r="R15" s="41">
        <v>2473.4013671875</v>
      </c>
      <c r="S15" s="41">
        <f t="shared" si="0"/>
        <v>-9.1012391228123615E-3</v>
      </c>
      <c r="T15" s="41">
        <f t="shared" si="0"/>
        <v>-2.2442316576923388E-2</v>
      </c>
    </row>
    <row r="16" spans="1:24" ht="14.4">
      <c r="A16" s="3"/>
      <c r="B16" s="7" t="s">
        <v>45</v>
      </c>
      <c r="C16" s="8">
        <v>656.05</v>
      </c>
      <c r="D16" s="3" t="s">
        <v>16</v>
      </c>
      <c r="E16" s="3"/>
      <c r="F16" s="7" t="s">
        <v>46</v>
      </c>
      <c r="G16" s="8">
        <v>0</v>
      </c>
      <c r="H16" s="3"/>
      <c r="I16" s="3"/>
      <c r="J16" s="51" t="s">
        <v>47</v>
      </c>
      <c r="K16" s="46">
        <f>K14 * K15</f>
        <v>3.3485253665857462</v>
      </c>
      <c r="L16" s="46" t="str">
        <f t="shared" ca="1" si="1"/>
        <v>=K14 * K15</v>
      </c>
      <c r="M16" s="46" t="s">
        <v>48</v>
      </c>
      <c r="P16" s="53">
        <v>45398</v>
      </c>
      <c r="Q16" s="41">
        <v>18695.599609375</v>
      </c>
      <c r="R16" s="41">
        <v>2490.82397460937</v>
      </c>
      <c r="S16" s="41">
        <f t="shared" si="0"/>
        <v>4.1868451235528448E-3</v>
      </c>
      <c r="T16" s="41">
        <f t="shared" si="0"/>
        <v>7.0439871397343047E-3</v>
      </c>
    </row>
    <row r="17" spans="1:20" ht="14.4">
      <c r="A17" s="3"/>
      <c r="B17" s="7" t="s">
        <v>49</v>
      </c>
      <c r="C17" s="8">
        <v>74.66</v>
      </c>
      <c r="D17" s="3" t="s">
        <v>16</v>
      </c>
      <c r="E17" s="3"/>
      <c r="F17" s="7" t="s">
        <v>50</v>
      </c>
      <c r="G17" s="8">
        <v>-155.01</v>
      </c>
      <c r="H17" s="3"/>
      <c r="I17" s="3"/>
      <c r="J17" s="51" t="s">
        <v>51</v>
      </c>
      <c r="K17" s="46">
        <f>G19 / (C15 + C21)</f>
        <v>8.9794840276119892E-2</v>
      </c>
      <c r="L17" s="46" t="str">
        <f t="shared" ca="1" si="1"/>
        <v>=G19 / (C15 + C21)</v>
      </c>
      <c r="M17" s="46" t="s">
        <v>52</v>
      </c>
      <c r="P17" s="53">
        <v>45400</v>
      </c>
      <c r="Q17" s="41">
        <v>18525.75</v>
      </c>
      <c r="R17" s="41">
        <v>2499.90356445312</v>
      </c>
      <c r="S17" s="41">
        <f t="shared" si="0"/>
        <v>-9.0850046494271343E-3</v>
      </c>
      <c r="T17" s="41">
        <f t="shared" si="0"/>
        <v>3.6452153730268839E-3</v>
      </c>
    </row>
    <row r="18" spans="1:20" ht="14.4">
      <c r="A18" s="3"/>
      <c r="B18" s="7" t="s">
        <v>53</v>
      </c>
      <c r="C18" s="8">
        <v>444.69</v>
      </c>
      <c r="D18" s="3" t="s">
        <v>16</v>
      </c>
      <c r="E18" s="3"/>
      <c r="F18" s="7" t="s">
        <v>54</v>
      </c>
      <c r="G18" s="10">
        <v>1984.4</v>
      </c>
      <c r="H18" s="21"/>
      <c r="I18" s="21"/>
      <c r="J18" s="51" t="s">
        <v>55</v>
      </c>
      <c r="K18" s="49">
        <f>K33+K31*(K32-K33)</f>
        <v>0.10343232592989779</v>
      </c>
      <c r="L18" s="46" t="str">
        <f t="shared" ca="1" si="1"/>
        <v>=K33+K31*(K32-K33)</v>
      </c>
      <c r="M18" s="46" t="s">
        <v>56</v>
      </c>
      <c r="P18" s="53">
        <v>45401</v>
      </c>
      <c r="Q18" s="41">
        <v>18404.599609375</v>
      </c>
      <c r="R18" s="41">
        <v>2492.5908203125</v>
      </c>
      <c r="S18" s="41">
        <f t="shared" si="0"/>
        <v>-6.5395673926831573E-3</v>
      </c>
      <c r="T18" s="41">
        <f t="shared" si="0"/>
        <v>-2.9252104939574888E-3</v>
      </c>
    </row>
    <row r="19" spans="1:20" ht="14.4">
      <c r="A19" s="3"/>
      <c r="B19" s="7" t="s">
        <v>57</v>
      </c>
      <c r="C19" s="10">
        <v>2779.18</v>
      </c>
      <c r="D19" s="3" t="s">
        <v>16</v>
      </c>
      <c r="E19" s="3"/>
      <c r="F19" s="7" t="s">
        <v>58</v>
      </c>
      <c r="G19" s="8">
        <v>353.56</v>
      </c>
      <c r="H19" s="3"/>
      <c r="I19" s="3"/>
      <c r="J19" s="51" t="s">
        <v>59</v>
      </c>
      <c r="K19" s="50">
        <f>G31 / G25</f>
        <v>0.29578973772485129</v>
      </c>
      <c r="L19" s="46" t="str">
        <f t="shared" ca="1" si="1"/>
        <v>=G31 / G25</v>
      </c>
      <c r="M19" s="46" t="s">
        <v>60</v>
      </c>
      <c r="P19" s="53">
        <v>45404</v>
      </c>
      <c r="Q19" s="41">
        <v>18643</v>
      </c>
      <c r="R19" s="41">
        <v>2544.123046875</v>
      </c>
      <c r="S19" s="41">
        <f t="shared" si="0"/>
        <v>1.2953304917514357E-2</v>
      </c>
      <c r="T19" s="41">
        <f t="shared" si="0"/>
        <v>2.0674162057629387E-2</v>
      </c>
    </row>
    <row r="20" spans="1:20" ht="14.4">
      <c r="A20" s="3"/>
      <c r="B20" s="7" t="s">
        <v>61</v>
      </c>
      <c r="C20" s="8" t="s">
        <v>19</v>
      </c>
      <c r="D20" s="3" t="s">
        <v>16</v>
      </c>
      <c r="E20" s="3"/>
      <c r="F20" s="7" t="s">
        <v>62</v>
      </c>
      <c r="G20" s="8">
        <v>808.27</v>
      </c>
      <c r="H20" s="3"/>
      <c r="I20" s="3"/>
      <c r="J20" s="51" t="s">
        <v>63</v>
      </c>
      <c r="K20" s="46">
        <f>K13 / (K13 + C12)</f>
        <v>0.36479311293668359</v>
      </c>
      <c r="L20" s="46" t="str">
        <f t="shared" ca="1" si="1"/>
        <v>=K13 / (K13 + C12)</v>
      </c>
      <c r="M20" s="46" t="s">
        <v>64</v>
      </c>
      <c r="P20" s="53">
        <v>45405</v>
      </c>
      <c r="Q20" s="41">
        <v>18463.75</v>
      </c>
      <c r="R20" s="41">
        <v>2588.78393554687</v>
      </c>
      <c r="S20" s="41">
        <f t="shared" si="0"/>
        <v>-9.6148688515796821E-3</v>
      </c>
      <c r="T20" s="41">
        <f t="shared" si="0"/>
        <v>1.7554531698743072E-2</v>
      </c>
    </row>
    <row r="21" spans="1:20" ht="14.4">
      <c r="A21" s="3"/>
      <c r="B21" s="7" t="s">
        <v>65</v>
      </c>
      <c r="C21" s="10">
        <v>2333.64</v>
      </c>
      <c r="D21" s="3" t="s">
        <v>16</v>
      </c>
      <c r="E21" s="3"/>
      <c r="F21" s="7" t="s">
        <v>66</v>
      </c>
      <c r="G21" s="10">
        <v>2689.58</v>
      </c>
      <c r="H21" s="21"/>
      <c r="I21" s="21"/>
      <c r="J21" s="51" t="s">
        <v>67</v>
      </c>
      <c r="K21" s="46">
        <f>C12 / (K13 + C12)</f>
        <v>0.63520688706331641</v>
      </c>
      <c r="L21" s="46" t="str">
        <f t="shared" ca="1" si="1"/>
        <v>=C12 / (K13 + C12)</v>
      </c>
      <c r="M21" s="46" t="s">
        <v>68</v>
      </c>
      <c r="P21" s="53">
        <v>45406</v>
      </c>
      <c r="Q21" s="41">
        <v>18586.19921875</v>
      </c>
      <c r="R21" s="41">
        <v>2636.92993164062</v>
      </c>
      <c r="S21" s="41">
        <f t="shared" si="0"/>
        <v>6.6318715726761896E-3</v>
      </c>
      <c r="T21" s="41">
        <f t="shared" si="0"/>
        <v>1.8597919831258285E-2</v>
      </c>
    </row>
    <row r="22" spans="1:20" ht="14.4">
      <c r="A22" s="3"/>
      <c r="B22" s="7" t="s">
        <v>69</v>
      </c>
      <c r="C22" s="10">
        <v>2089.3200000000002</v>
      </c>
      <c r="D22" s="3" t="s">
        <v>16</v>
      </c>
      <c r="E22" s="3"/>
      <c r="F22" s="7" t="s">
        <v>70</v>
      </c>
      <c r="G22" s="10">
        <v>8522.02</v>
      </c>
      <c r="H22" s="21"/>
      <c r="I22" s="21"/>
      <c r="J22" s="51" t="s">
        <v>71</v>
      </c>
      <c r="K22" s="49">
        <f>K21 * K18 + K20 * K17</f>
        <v>9.8457465085626777E-2</v>
      </c>
      <c r="L22" s="46" t="str">
        <f ca="1">_xlfn.FORMULATEXT(K22)</f>
        <v>=K21 * K18 + K20 * K17</v>
      </c>
      <c r="M22" s="46" t="s">
        <v>72</v>
      </c>
      <c r="P22" s="53">
        <v>45407</v>
      </c>
      <c r="Q22" s="41">
        <v>18878.150390625</v>
      </c>
      <c r="R22" s="41">
        <v>2644.63549804687</v>
      </c>
      <c r="S22" s="41">
        <f t="shared" si="0"/>
        <v>1.5707954511779677E-2</v>
      </c>
      <c r="T22" s="41">
        <f t="shared" si="0"/>
        <v>2.9221733629667679E-3</v>
      </c>
    </row>
    <row r="23" spans="1:20" ht="14.4">
      <c r="A23" s="3"/>
      <c r="B23" s="7" t="s">
        <v>73</v>
      </c>
      <c r="C23" s="8">
        <v>602.15</v>
      </c>
      <c r="D23" s="3" t="s">
        <v>16</v>
      </c>
      <c r="E23" s="3"/>
      <c r="F23" s="7" t="s">
        <v>74</v>
      </c>
      <c r="G23" s="10">
        <v>2263.73</v>
      </c>
      <c r="H23" s="21"/>
      <c r="I23" s="21"/>
      <c r="J23" s="3" t="s">
        <v>16</v>
      </c>
      <c r="K23" s="24"/>
      <c r="L23" s="3"/>
      <c r="M23" s="3"/>
      <c r="P23" s="53">
        <v>45408</v>
      </c>
      <c r="Q23" s="41">
        <v>18994.650390625</v>
      </c>
      <c r="R23" s="41">
        <v>2641.396484375</v>
      </c>
      <c r="S23" s="41">
        <f t="shared" si="0"/>
        <v>6.1711554145608772E-3</v>
      </c>
      <c r="T23" s="41">
        <f t="shared" si="0"/>
        <v>-1.2247486181978919E-3</v>
      </c>
    </row>
    <row r="24" spans="1:20" ht="14.4">
      <c r="A24" s="3"/>
      <c r="B24" s="7" t="s">
        <v>75</v>
      </c>
      <c r="C24" s="8">
        <v>400.14</v>
      </c>
      <c r="D24" s="3" t="s">
        <v>16</v>
      </c>
      <c r="E24" s="3"/>
      <c r="F24" s="7" t="s">
        <v>76</v>
      </c>
      <c r="G24" s="8">
        <v>88.38</v>
      </c>
      <c r="H24" s="3"/>
      <c r="I24" s="3"/>
      <c r="J24" s="3" t="s">
        <v>16</v>
      </c>
      <c r="K24" s="3"/>
      <c r="L24" s="3"/>
      <c r="M24" s="3"/>
      <c r="P24" s="53">
        <v>45411</v>
      </c>
      <c r="Q24" s="41">
        <v>19096.900390625</v>
      </c>
      <c r="R24" s="41">
        <v>2637.91162109375</v>
      </c>
      <c r="S24" s="41">
        <f t="shared" si="0"/>
        <v>5.3830946028080888E-3</v>
      </c>
      <c r="T24" s="41">
        <f t="shared" si="0"/>
        <v>-1.3193260844649678E-3</v>
      </c>
    </row>
    <row r="25" spans="1:20" ht="14.4">
      <c r="A25" s="3"/>
      <c r="B25" s="7" t="s">
        <v>77</v>
      </c>
      <c r="C25" s="10">
        <v>5425.25</v>
      </c>
      <c r="D25" s="3" t="s">
        <v>16</v>
      </c>
      <c r="E25" s="3"/>
      <c r="F25" s="7" t="s">
        <v>78</v>
      </c>
      <c r="G25" s="10">
        <v>2352.11</v>
      </c>
      <c r="H25" s="21"/>
      <c r="I25" s="21"/>
      <c r="J25" s="3" t="s">
        <v>79</v>
      </c>
      <c r="K25" s="21">
        <f>G9</f>
        <v>10562.31</v>
      </c>
      <c r="L25" s="11" t="str">
        <f t="shared" ref="L25:L26" ca="1" si="2">_xlfn.FORMULATEXT(K25)</f>
        <v>=G9</v>
      </c>
      <c r="M25" s="11" t="s">
        <v>80</v>
      </c>
      <c r="P25" s="53">
        <v>45412</v>
      </c>
      <c r="Q25" s="41">
        <v>18970.599609375</v>
      </c>
      <c r="R25" s="41">
        <v>2593.83959960937</v>
      </c>
      <c r="S25" s="41">
        <f t="shared" si="0"/>
        <v>-6.6136796373511613E-3</v>
      </c>
      <c r="T25" s="41">
        <f t="shared" si="0"/>
        <v>-1.6707163777574377E-2</v>
      </c>
    </row>
    <row r="26" spans="1:20" ht="14.4">
      <c r="A26" s="3"/>
      <c r="B26" s="7" t="s">
        <v>81</v>
      </c>
      <c r="C26" s="10">
        <v>15060.58</v>
      </c>
      <c r="D26" s="3" t="s">
        <v>16</v>
      </c>
      <c r="E26" s="3"/>
      <c r="F26" s="7" t="s">
        <v>82</v>
      </c>
      <c r="G26" s="8" t="s">
        <v>19</v>
      </c>
      <c r="H26" s="3"/>
      <c r="I26" s="3"/>
      <c r="J26" s="3" t="s">
        <v>83</v>
      </c>
      <c r="K26" s="21">
        <f>G14+G15+G17</f>
        <v>2686.21</v>
      </c>
      <c r="L26" s="11" t="str">
        <f t="shared" ca="1" si="2"/>
        <v>=G14+G15+G17</v>
      </c>
      <c r="M26" s="11" t="s">
        <v>84</v>
      </c>
      <c r="P26" s="53">
        <v>45414</v>
      </c>
      <c r="Q26" s="41">
        <v>19124.44921875</v>
      </c>
      <c r="R26" s="41">
        <v>2620.78344726562</v>
      </c>
      <c r="S26" s="41">
        <f t="shared" si="0"/>
        <v>8.1098970271329604E-3</v>
      </c>
      <c r="T26" s="41">
        <f t="shared" si="0"/>
        <v>1.03876306230762E-2</v>
      </c>
    </row>
    <row r="27" spans="1:20" ht="14.4">
      <c r="A27" s="3"/>
      <c r="B27" s="7" t="s">
        <v>85</v>
      </c>
      <c r="C27" s="8" t="s">
        <v>19</v>
      </c>
      <c r="D27" s="3" t="s">
        <v>16</v>
      </c>
      <c r="E27" s="3"/>
      <c r="F27" s="7" t="s">
        <v>86</v>
      </c>
      <c r="G27" s="8">
        <v>461.73</v>
      </c>
      <c r="H27" s="3"/>
      <c r="I27" s="3"/>
      <c r="J27" s="3" t="s">
        <v>87</v>
      </c>
      <c r="K27" s="21">
        <f>K25-K26</f>
        <v>7876.0999999999995</v>
      </c>
      <c r="L27" s="11" t="str">
        <f ca="1">_xlfn.FORMULATEXT(K27)</f>
        <v>=K25-K26</v>
      </c>
      <c r="M27" s="11" t="s">
        <v>88</v>
      </c>
      <c r="P27" s="53">
        <v>45415</v>
      </c>
      <c r="Q27" s="41">
        <v>19133.400390625</v>
      </c>
      <c r="R27" s="41">
        <v>2684.29052734375</v>
      </c>
      <c r="S27" s="41">
        <f t="shared" si="0"/>
        <v>4.6804861006005281E-4</v>
      </c>
      <c r="T27" s="41">
        <f t="shared" si="0"/>
        <v>2.4232097521979454E-2</v>
      </c>
    </row>
    <row r="28" spans="1:20" ht="14.4">
      <c r="A28" s="3"/>
      <c r="B28" s="7" t="s">
        <v>89</v>
      </c>
      <c r="C28" s="8" t="s">
        <v>19</v>
      </c>
      <c r="D28" s="3" t="s">
        <v>16</v>
      </c>
      <c r="E28" s="3"/>
      <c r="F28" s="7" t="s">
        <v>90</v>
      </c>
      <c r="G28" s="8">
        <v>0</v>
      </c>
      <c r="H28" s="3"/>
      <c r="I28" s="3"/>
      <c r="J28" s="3" t="s">
        <v>91</v>
      </c>
      <c r="K28" s="21">
        <f>G25+G19</f>
        <v>2705.67</v>
      </c>
      <c r="L28" s="11" t="str">
        <f ca="1">_xlfn.FORMULATEXT(K28)</f>
        <v>=G25+G19</v>
      </c>
      <c r="M28" s="11" t="s">
        <v>92</v>
      </c>
      <c r="P28" s="53">
        <v>45418</v>
      </c>
      <c r="Q28" s="41">
        <v>19203.30078125</v>
      </c>
      <c r="R28" s="41">
        <v>2667.11328125</v>
      </c>
      <c r="S28" s="41">
        <f t="shared" si="0"/>
        <v>3.6533177165544422E-3</v>
      </c>
      <c r="T28" s="41">
        <f t="shared" si="0"/>
        <v>-6.3991754688147743E-3</v>
      </c>
    </row>
    <row r="29" spans="1:20" ht="14.4">
      <c r="A29" s="3"/>
      <c r="B29" s="7" t="s">
        <v>93</v>
      </c>
      <c r="C29" s="10">
        <v>3296.97</v>
      </c>
      <c r="D29" s="3" t="s">
        <v>16</v>
      </c>
      <c r="E29" s="3"/>
      <c r="F29" s="7" t="s">
        <v>94</v>
      </c>
      <c r="G29" s="8">
        <v>234</v>
      </c>
      <c r="H29" s="3"/>
      <c r="I29" s="3"/>
      <c r="J29" s="3" t="s">
        <v>95</v>
      </c>
      <c r="K29" s="21">
        <f>G25</f>
        <v>2352.11</v>
      </c>
      <c r="L29" s="11" t="str">
        <f ca="1">_xlfn.FORMULATEXT(K29)</f>
        <v>=G25</v>
      </c>
      <c r="M29" s="11" t="s">
        <v>96</v>
      </c>
      <c r="P29" s="53">
        <v>45419</v>
      </c>
      <c r="Q29" s="41">
        <v>18846.30078125</v>
      </c>
      <c r="R29" s="41">
        <v>2571.06713867187</v>
      </c>
      <c r="S29" s="41">
        <f t="shared" si="0"/>
        <v>-1.8590553992081031E-2</v>
      </c>
      <c r="T29" s="41">
        <f t="shared" si="0"/>
        <v>-3.6011272282036669E-2</v>
      </c>
    </row>
    <row r="30" spans="1:20" ht="14.4">
      <c r="A30" s="3"/>
      <c r="B30" s="7" t="s">
        <v>97</v>
      </c>
      <c r="C30" s="10">
        <v>4503.1099999999997</v>
      </c>
      <c r="D30" s="3" t="s">
        <v>16</v>
      </c>
      <c r="E30" s="3"/>
      <c r="F30" s="7" t="s">
        <v>98</v>
      </c>
      <c r="G30" s="8">
        <v>0</v>
      </c>
      <c r="H30" s="3"/>
      <c r="I30" s="3"/>
      <c r="J30" s="3" t="s">
        <v>16</v>
      </c>
      <c r="P30" s="53">
        <v>45420</v>
      </c>
      <c r="Q30" s="41">
        <v>18850.849609375</v>
      </c>
      <c r="R30" s="41">
        <v>2539.85327148437</v>
      </c>
      <c r="S30" s="41">
        <f t="shared" si="0"/>
        <v>2.4136450849418601E-4</v>
      </c>
      <c r="T30" s="41">
        <f t="shared" si="0"/>
        <v>-1.2140432553474302E-2</v>
      </c>
    </row>
    <row r="31" spans="1:20" ht="14.4">
      <c r="A31" s="3"/>
      <c r="B31" s="7" t="s">
        <v>99</v>
      </c>
      <c r="C31" s="8">
        <v>280.8</v>
      </c>
      <c r="D31" s="3" t="s">
        <v>16</v>
      </c>
      <c r="E31" s="3"/>
      <c r="F31" s="7" t="s">
        <v>100</v>
      </c>
      <c r="G31" s="8">
        <v>695.73</v>
      </c>
      <c r="H31" s="3"/>
      <c r="I31" s="3"/>
      <c r="J31" s="3" t="s">
        <v>11</v>
      </c>
      <c r="K31">
        <f>'Torrent Beta Calc'!H7</f>
        <v>0.8320465129147967</v>
      </c>
      <c r="P31" s="53">
        <v>45421</v>
      </c>
      <c r="Q31" s="41">
        <v>18437.05078125</v>
      </c>
      <c r="R31" s="41">
        <v>2477.818359375</v>
      </c>
      <c r="S31" s="41">
        <f t="shared" si="0"/>
        <v>-2.1951203086316463E-2</v>
      </c>
      <c r="T31" s="41">
        <f t="shared" si="0"/>
        <v>-2.4424604683212604E-2</v>
      </c>
    </row>
    <row r="32" spans="1:20" ht="14.4">
      <c r="A32" s="3"/>
      <c r="B32" s="7" t="s">
        <v>101</v>
      </c>
      <c r="C32" s="10">
        <v>8160.59</v>
      </c>
      <c r="D32" s="3" t="s">
        <v>16</v>
      </c>
      <c r="E32" s="3"/>
      <c r="F32" s="7" t="s">
        <v>102</v>
      </c>
      <c r="G32" s="10">
        <v>1656.38</v>
      </c>
      <c r="H32" s="21"/>
      <c r="I32" s="21"/>
      <c r="J32" s="3" t="s">
        <v>103</v>
      </c>
      <c r="K32">
        <f>'Torrent Beta Calc'!H10*252</f>
        <v>0.11078640540451196</v>
      </c>
      <c r="P32" s="53">
        <v>45422</v>
      </c>
      <c r="Q32" s="41">
        <v>18609.44921875</v>
      </c>
      <c r="R32" s="41">
        <v>2551.97534179687</v>
      </c>
      <c r="S32" s="41">
        <f t="shared" si="0"/>
        <v>9.3506515518916242E-3</v>
      </c>
      <c r="T32" s="41">
        <f t="shared" si="0"/>
        <v>2.9928336813427762E-2</v>
      </c>
    </row>
    <row r="33" spans="1:20" ht="14.4">
      <c r="A33" s="3"/>
      <c r="B33" s="7" t="s">
        <v>104</v>
      </c>
      <c r="C33" s="8">
        <v>31.8</v>
      </c>
      <c r="D33" s="3" t="s">
        <v>16</v>
      </c>
      <c r="E33" s="3"/>
      <c r="F33" s="7" t="s">
        <v>105</v>
      </c>
      <c r="G33" s="10">
        <v>1656.38</v>
      </c>
      <c r="H33" s="21"/>
      <c r="I33" s="21"/>
      <c r="J33" s="3" t="s">
        <v>106</v>
      </c>
      <c r="K33" s="25">
        <f>6.7/100</f>
        <v>6.7000000000000004E-2</v>
      </c>
      <c r="L33" s="22" t="s">
        <v>107</v>
      </c>
      <c r="M33" s="22" t="s">
        <v>108</v>
      </c>
      <c r="P33" s="53">
        <v>45425</v>
      </c>
      <c r="Q33" s="41">
        <v>18939</v>
      </c>
      <c r="R33" s="41">
        <v>2556.5888671875</v>
      </c>
      <c r="S33" s="41">
        <f t="shared" si="0"/>
        <v>1.7708787475448774E-2</v>
      </c>
      <c r="T33" s="41">
        <f t="shared" si="0"/>
        <v>1.8078252227082944E-3</v>
      </c>
    </row>
    <row r="34" spans="1:20" ht="14.4">
      <c r="A34" s="3"/>
      <c r="B34" s="7" t="s">
        <v>109</v>
      </c>
      <c r="C34" s="8">
        <v>555.13</v>
      </c>
      <c r="D34" s="3" t="s">
        <v>16</v>
      </c>
      <c r="E34" s="3"/>
      <c r="F34" s="7" t="s">
        <v>110</v>
      </c>
      <c r="G34" s="10">
        <v>1656.38</v>
      </c>
      <c r="H34" s="21"/>
      <c r="I34" s="21"/>
      <c r="J34" s="3" t="s">
        <v>16</v>
      </c>
      <c r="P34" s="53">
        <v>45426</v>
      </c>
      <c r="Q34" s="41">
        <v>18860.849609375</v>
      </c>
      <c r="R34" s="41">
        <v>2582.15869140625</v>
      </c>
      <c r="S34" s="41">
        <f t="shared" si="0"/>
        <v>-4.1264264546702571E-3</v>
      </c>
      <c r="T34" s="41">
        <f t="shared" si="0"/>
        <v>1.0001539374173732E-2</v>
      </c>
    </row>
    <row r="35" spans="1:20" ht="14.4">
      <c r="A35" s="3"/>
      <c r="B35" s="7" t="s">
        <v>111</v>
      </c>
      <c r="C35" s="8">
        <v>2.5099999999999998</v>
      </c>
      <c r="D35" s="3" t="s">
        <v>16</v>
      </c>
      <c r="E35" s="3"/>
      <c r="F35" s="7" t="s">
        <v>33</v>
      </c>
      <c r="G35" s="8">
        <v>0</v>
      </c>
      <c r="H35" s="3"/>
      <c r="I35" s="3"/>
      <c r="J35" s="3" t="s">
        <v>16</v>
      </c>
      <c r="P35" s="53">
        <v>45427</v>
      </c>
      <c r="Q35" s="41">
        <v>18886.55078125</v>
      </c>
      <c r="R35" s="41">
        <v>2600.12158203125</v>
      </c>
      <c r="S35" s="41">
        <f t="shared" si="0"/>
        <v>1.3626730718548829E-3</v>
      </c>
      <c r="T35" s="41">
        <f t="shared" si="0"/>
        <v>6.9565401556390656E-3</v>
      </c>
    </row>
    <row r="36" spans="1:20" ht="14.4">
      <c r="A36" s="3"/>
      <c r="B36" s="7" t="s">
        <v>112</v>
      </c>
      <c r="C36" s="8">
        <v>361.04</v>
      </c>
      <c r="D36" s="3" t="s">
        <v>16</v>
      </c>
      <c r="E36" s="3"/>
      <c r="F36" s="7" t="s">
        <v>113</v>
      </c>
      <c r="G36" s="10">
        <v>1656.38</v>
      </c>
      <c r="H36" s="21"/>
      <c r="I36" s="21"/>
      <c r="J36" s="3" t="s">
        <v>16</v>
      </c>
      <c r="P36" s="53">
        <v>45428</v>
      </c>
      <c r="Q36" s="41">
        <v>18996.150390625</v>
      </c>
      <c r="R36" s="41">
        <v>2650.18139648437</v>
      </c>
      <c r="S36" s="41">
        <f t="shared" si="0"/>
        <v>5.8030505752171115E-3</v>
      </c>
      <c r="T36" s="41">
        <f t="shared" si="0"/>
        <v>1.925287448058971E-2</v>
      </c>
    </row>
    <row r="37" spans="1:20" ht="14.4">
      <c r="A37" s="3"/>
      <c r="B37" s="7" t="s">
        <v>114</v>
      </c>
      <c r="C37" s="10">
        <v>9449.1</v>
      </c>
      <c r="D37" s="3" t="s">
        <v>16</v>
      </c>
      <c r="E37" s="3"/>
      <c r="F37" s="7" t="s">
        <v>115</v>
      </c>
      <c r="G37" s="8" t="s">
        <v>19</v>
      </c>
      <c r="H37" s="3"/>
      <c r="I37" s="3"/>
      <c r="J37" s="3" t="s">
        <v>16</v>
      </c>
      <c r="P37" s="53">
        <v>45429</v>
      </c>
      <c r="Q37" s="41">
        <v>18981.599609375</v>
      </c>
      <c r="R37" s="41">
        <v>2648.9541015625</v>
      </c>
      <c r="S37" s="41">
        <f t="shared" si="0"/>
        <v>-7.6598578926713055E-4</v>
      </c>
      <c r="T37" s="41">
        <f t="shared" si="0"/>
        <v>-4.6309845941039379E-4</v>
      </c>
    </row>
    <row r="38" spans="1:20" ht="14.4">
      <c r="A38" s="3"/>
      <c r="B38" s="7" t="s">
        <v>116</v>
      </c>
      <c r="C38" s="8" t="s">
        <v>19</v>
      </c>
      <c r="D38" s="3" t="s">
        <v>16</v>
      </c>
      <c r="E38" s="3"/>
      <c r="F38" s="7" t="s">
        <v>117</v>
      </c>
      <c r="G38" s="8" t="s">
        <v>19</v>
      </c>
      <c r="H38" s="3"/>
      <c r="I38" s="3"/>
      <c r="J38" s="3" t="s">
        <v>16</v>
      </c>
      <c r="P38" s="53">
        <v>45433</v>
      </c>
      <c r="Q38" s="41">
        <v>19205.19921875</v>
      </c>
      <c r="R38" s="41">
        <v>2632.267578125</v>
      </c>
      <c r="S38" s="41">
        <f t="shared" si="0"/>
        <v>1.17798085502006E-2</v>
      </c>
      <c r="T38" s="41">
        <f t="shared" si="0"/>
        <v>-6.2992874914885701E-3</v>
      </c>
    </row>
    <row r="39" spans="1:20" ht="14.4">
      <c r="A39" s="3"/>
      <c r="B39" s="7" t="s">
        <v>118</v>
      </c>
      <c r="C39" s="8">
        <v>141.04</v>
      </c>
      <c r="D39" s="3" t="s">
        <v>16</v>
      </c>
      <c r="E39" s="3"/>
      <c r="F39" s="7" t="s">
        <v>119</v>
      </c>
      <c r="G39" s="8">
        <v>49</v>
      </c>
      <c r="H39" s="3"/>
      <c r="I39" s="3"/>
      <c r="J39" s="3" t="s">
        <v>16</v>
      </c>
      <c r="P39" s="53">
        <v>45434</v>
      </c>
      <c r="Q39" s="41">
        <v>19317.400390625</v>
      </c>
      <c r="R39" s="41">
        <v>2614.6484375</v>
      </c>
      <c r="S39" s="41">
        <f t="shared" si="0"/>
        <v>5.842229002522307E-3</v>
      </c>
      <c r="T39" s="41">
        <f t="shared" si="0"/>
        <v>-6.6935218787864846E-3</v>
      </c>
    </row>
    <row r="40" spans="1:20" ht="14.4">
      <c r="A40" s="3"/>
      <c r="B40" s="7" t="s">
        <v>120</v>
      </c>
      <c r="C40" s="10">
        <v>2279.0700000000002</v>
      </c>
      <c r="D40" s="3" t="s">
        <v>16</v>
      </c>
      <c r="E40" s="3"/>
      <c r="F40" s="7" t="s">
        <v>121</v>
      </c>
      <c r="G40" s="8">
        <v>49</v>
      </c>
      <c r="H40" s="3"/>
      <c r="I40" s="3"/>
      <c r="J40" s="3" t="s">
        <v>16</v>
      </c>
      <c r="P40" s="53">
        <v>45435</v>
      </c>
      <c r="Q40" s="41">
        <v>19216.349609375</v>
      </c>
      <c r="R40" s="41">
        <v>2643.26123046875</v>
      </c>
      <c r="S40" s="41">
        <f t="shared" si="0"/>
        <v>-5.2310755695182121E-3</v>
      </c>
      <c r="T40" s="41">
        <f t="shared" si="0"/>
        <v>1.0943265854933892E-2</v>
      </c>
    </row>
    <row r="41" spans="1:20" ht="14.4">
      <c r="A41" s="3"/>
      <c r="B41" s="7" t="s">
        <v>122</v>
      </c>
      <c r="C41" s="10">
        <v>1844.3</v>
      </c>
      <c r="D41" s="3" t="s">
        <v>16</v>
      </c>
      <c r="E41" s="3"/>
      <c r="F41" s="7" t="s">
        <v>123</v>
      </c>
      <c r="G41" s="8" t="s">
        <v>19</v>
      </c>
      <c r="H41" s="3"/>
      <c r="I41" s="3"/>
      <c r="J41" s="3" t="s">
        <v>16</v>
      </c>
      <c r="P41" s="53">
        <v>45436</v>
      </c>
      <c r="Q41" s="41">
        <v>19119.5</v>
      </c>
      <c r="R41" s="41">
        <v>2564.39233398437</v>
      </c>
      <c r="S41" s="41">
        <f t="shared" si="0"/>
        <v>-5.0399587509456214E-3</v>
      </c>
      <c r="T41" s="41">
        <f t="shared" si="0"/>
        <v>-2.98377230276228E-2</v>
      </c>
    </row>
    <row r="42" spans="1:20" ht="14.4">
      <c r="A42" s="3"/>
      <c r="B42" s="7" t="s">
        <v>124</v>
      </c>
      <c r="C42" s="8">
        <v>839.04</v>
      </c>
      <c r="D42" s="3" t="s">
        <v>16</v>
      </c>
      <c r="E42" s="3"/>
      <c r="F42" s="7" t="s">
        <v>125</v>
      </c>
      <c r="G42" s="10">
        <v>1015.34</v>
      </c>
      <c r="H42" s="21"/>
      <c r="I42" s="21"/>
      <c r="J42" s="3" t="s">
        <v>16</v>
      </c>
      <c r="P42" s="53">
        <v>45439</v>
      </c>
      <c r="Q42" s="41">
        <v>19111.94921875</v>
      </c>
      <c r="R42" s="41">
        <v>2606.30517578125</v>
      </c>
      <c r="S42" s="41">
        <f t="shared" si="0"/>
        <v>-3.9492566489709459E-4</v>
      </c>
      <c r="T42" s="41">
        <f t="shared" si="0"/>
        <v>1.6344161242971281E-2</v>
      </c>
    </row>
    <row r="43" spans="1:20" ht="14.4">
      <c r="A43" s="3"/>
      <c r="B43" s="7" t="s">
        <v>126</v>
      </c>
      <c r="C43" s="8">
        <v>3.05</v>
      </c>
      <c r="D43" s="3" t="s">
        <v>16</v>
      </c>
      <c r="E43" s="3"/>
      <c r="F43" s="7" t="s">
        <v>127</v>
      </c>
      <c r="G43" s="8">
        <v>0</v>
      </c>
      <c r="H43" s="3"/>
      <c r="I43" s="3"/>
      <c r="J43" s="3" t="s">
        <v>16</v>
      </c>
      <c r="P43" s="53">
        <v>45440</v>
      </c>
      <c r="Q43" s="41">
        <v>19215.75</v>
      </c>
      <c r="R43" s="41">
        <v>2617.5439453125</v>
      </c>
      <c r="S43" s="41">
        <f t="shared" si="0"/>
        <v>5.4311980458887485E-3</v>
      </c>
      <c r="T43" s="41">
        <f t="shared" si="0"/>
        <v>4.3121464192623317E-3</v>
      </c>
    </row>
    <row r="44" spans="1:20" ht="14.4">
      <c r="A44" s="3"/>
      <c r="B44" s="7" t="s">
        <v>128</v>
      </c>
      <c r="C44" s="8">
        <v>504.98</v>
      </c>
      <c r="D44" s="3" t="s">
        <v>16</v>
      </c>
      <c r="E44" s="3"/>
      <c r="F44" s="3"/>
      <c r="G44" s="3"/>
      <c r="H44" s="3"/>
      <c r="I44" s="3"/>
      <c r="J44" s="3" t="s">
        <v>16</v>
      </c>
      <c r="P44" s="53">
        <v>45441</v>
      </c>
      <c r="Q44" s="41">
        <v>19321.349609375</v>
      </c>
      <c r="R44" s="41">
        <v>2664.16870117187</v>
      </c>
      <c r="S44" s="41">
        <f t="shared" si="0"/>
        <v>5.4954716508593213E-3</v>
      </c>
      <c r="T44" s="41">
        <f t="shared" si="0"/>
        <v>1.7812406146175942E-2</v>
      </c>
    </row>
    <row r="45" spans="1:20" ht="14.4">
      <c r="A45" s="3"/>
      <c r="B45" s="7" t="s">
        <v>129</v>
      </c>
      <c r="C45" s="10">
        <v>5611.48</v>
      </c>
      <c r="D45" s="3" t="s">
        <v>16</v>
      </c>
      <c r="E45" s="3"/>
      <c r="F45" s="3"/>
      <c r="G45" s="3"/>
      <c r="H45" s="3"/>
      <c r="I45" s="3"/>
      <c r="J45" s="3"/>
      <c r="P45" s="53">
        <v>45442</v>
      </c>
      <c r="Q45" s="41">
        <v>18971</v>
      </c>
      <c r="R45" s="41">
        <v>2609.05346679687</v>
      </c>
      <c r="S45" s="41">
        <f t="shared" si="0"/>
        <v>-1.8132771077492706E-2</v>
      </c>
      <c r="T45" s="41">
        <f t="shared" si="0"/>
        <v>-2.068759172448683E-2</v>
      </c>
    </row>
    <row r="46" spans="1:20" ht="14.4">
      <c r="A46" s="3"/>
      <c r="B46" s="7" t="s">
        <v>130</v>
      </c>
      <c r="C46" s="10">
        <v>15060.58</v>
      </c>
      <c r="D46" s="3" t="s">
        <v>16</v>
      </c>
      <c r="E46" s="3"/>
      <c r="F46" s="3"/>
      <c r="G46" s="3"/>
      <c r="H46" s="3"/>
      <c r="I46" s="3"/>
      <c r="J46" s="3"/>
      <c r="P46" s="53">
        <v>45443</v>
      </c>
      <c r="Q46" s="41">
        <v>18796.30078125</v>
      </c>
      <c r="R46" s="41">
        <v>2646.35327148437</v>
      </c>
      <c r="S46" s="41">
        <f t="shared" si="0"/>
        <v>-9.2087511860207694E-3</v>
      </c>
      <c r="T46" s="41">
        <f t="shared" si="0"/>
        <v>1.429629755088649E-2</v>
      </c>
    </row>
    <row r="47" spans="1:20" ht="14.4">
      <c r="A47" s="3"/>
      <c r="B47" s="7" t="s">
        <v>115</v>
      </c>
      <c r="C47" s="8" t="s">
        <v>19</v>
      </c>
      <c r="D47" s="3" t="s">
        <v>16</v>
      </c>
      <c r="E47" s="3"/>
      <c r="F47" s="3"/>
      <c r="G47" s="3"/>
      <c r="H47" s="3"/>
      <c r="I47" s="3"/>
      <c r="J47" s="3"/>
      <c r="P47" s="53">
        <v>45446</v>
      </c>
      <c r="Q47" s="41">
        <v>18864.150390625</v>
      </c>
      <c r="R47" s="41">
        <v>2628.58666992187</v>
      </c>
      <c r="S47" s="41">
        <f t="shared" si="0"/>
        <v>3.6097320512492796E-3</v>
      </c>
      <c r="T47" s="41">
        <f t="shared" si="0"/>
        <v>-6.7136167169905133E-3</v>
      </c>
    </row>
    <row r="48" spans="1:20" ht="14.4">
      <c r="A48" s="3"/>
      <c r="B48" s="7" t="s">
        <v>131</v>
      </c>
      <c r="C48" s="8" t="s">
        <v>19</v>
      </c>
      <c r="D48" s="3" t="s">
        <v>16</v>
      </c>
      <c r="E48" s="3"/>
      <c r="F48" s="3"/>
      <c r="G48" s="3"/>
      <c r="H48" s="3"/>
      <c r="I48" s="3"/>
      <c r="J48" s="3"/>
      <c r="P48" s="53">
        <v>45447</v>
      </c>
      <c r="Q48" s="41">
        <v>18603.150390625</v>
      </c>
      <c r="R48" s="41">
        <v>2644.34106445312</v>
      </c>
      <c r="S48" s="41">
        <f t="shared" si="0"/>
        <v>-1.3835767558856524E-2</v>
      </c>
      <c r="T48" s="41">
        <f t="shared" si="0"/>
        <v>5.9934849063653936E-3</v>
      </c>
    </row>
    <row r="49" spans="1:20" ht="14.4">
      <c r="A49" s="3"/>
      <c r="B49" s="7" t="s">
        <v>132</v>
      </c>
      <c r="C49" s="8">
        <v>575.05999999999995</v>
      </c>
      <c r="D49" s="3" t="s">
        <v>16</v>
      </c>
      <c r="E49" s="3"/>
      <c r="F49" s="3"/>
      <c r="G49" s="3"/>
      <c r="H49" s="3"/>
      <c r="I49" s="3"/>
      <c r="J49" s="3"/>
      <c r="P49" s="53">
        <v>45448</v>
      </c>
      <c r="Q49" s="41">
        <v>19281.25</v>
      </c>
      <c r="R49" s="41">
        <v>2729.14819335937</v>
      </c>
      <c r="S49" s="41">
        <f t="shared" si="0"/>
        <v>3.6450794362052043E-2</v>
      </c>
      <c r="T49" s="41">
        <f t="shared" si="0"/>
        <v>3.2071176462930694E-2</v>
      </c>
    </row>
    <row r="50" spans="1:20" ht="14.4">
      <c r="A50" s="3"/>
      <c r="B50" s="7" t="s">
        <v>133</v>
      </c>
      <c r="C50" s="8" t="s">
        <v>19</v>
      </c>
      <c r="D50" s="3" t="s">
        <v>16</v>
      </c>
      <c r="E50" s="3"/>
      <c r="F50" s="3"/>
      <c r="G50" s="3"/>
      <c r="H50" s="3"/>
      <c r="I50" s="3"/>
      <c r="J50" s="3"/>
      <c r="P50" s="53">
        <v>45449</v>
      </c>
      <c r="Q50" s="41">
        <v>19232.099609375</v>
      </c>
      <c r="R50" s="41">
        <v>2730.71899414062</v>
      </c>
      <c r="S50" s="41">
        <f t="shared" si="0"/>
        <v>-2.5491288492706645E-3</v>
      </c>
      <c r="T50" s="41">
        <f t="shared" si="0"/>
        <v>5.7556448751009965E-4</v>
      </c>
    </row>
    <row r="51" spans="1:20" ht="14.4">
      <c r="A51" s="3"/>
      <c r="B51" s="7" t="s">
        <v>134</v>
      </c>
      <c r="C51" s="8">
        <v>162.41</v>
      </c>
      <c r="D51" s="3" t="s">
        <v>16</v>
      </c>
      <c r="E51" s="3"/>
      <c r="F51" s="3"/>
      <c r="G51" s="3"/>
      <c r="H51" s="3"/>
      <c r="I51" s="3"/>
      <c r="J51" s="3"/>
      <c r="P51" s="53">
        <v>45450</v>
      </c>
      <c r="Q51" s="41">
        <v>19578</v>
      </c>
      <c r="R51" s="41">
        <v>2792.50854492187</v>
      </c>
      <c r="S51" s="41">
        <f t="shared" si="0"/>
        <v>1.7985576075967558E-2</v>
      </c>
      <c r="T51" s="41">
        <f t="shared" si="0"/>
        <v>2.2627575709486609E-2</v>
      </c>
    </row>
    <row r="52" spans="1:20" ht="14.4">
      <c r="A52" s="3"/>
      <c r="B52" s="7" t="s">
        <v>135</v>
      </c>
      <c r="C52" s="8" t="s">
        <v>19</v>
      </c>
      <c r="D52" s="3" t="s">
        <v>16</v>
      </c>
      <c r="E52" s="3"/>
      <c r="F52" s="3"/>
      <c r="G52" s="3"/>
      <c r="H52" s="3"/>
      <c r="I52" s="3"/>
      <c r="J52" s="3"/>
      <c r="P52" s="53">
        <v>45453</v>
      </c>
      <c r="Q52" s="41">
        <v>19774.69921875</v>
      </c>
      <c r="R52" s="41">
        <v>2811.158203125</v>
      </c>
      <c r="S52" s="41">
        <f t="shared" si="0"/>
        <v>1.0046951616610482E-2</v>
      </c>
      <c r="T52" s="41">
        <f t="shared" si="0"/>
        <v>6.6784605680237199E-3</v>
      </c>
    </row>
    <row r="53" spans="1:20" ht="14.4">
      <c r="A53" s="3"/>
      <c r="B53" s="7" t="s">
        <v>136</v>
      </c>
      <c r="C53" s="8">
        <v>0</v>
      </c>
      <c r="D53" s="3" t="s">
        <v>16</v>
      </c>
      <c r="E53" s="3"/>
      <c r="F53" s="3"/>
      <c r="G53" s="3"/>
      <c r="H53" s="3"/>
      <c r="I53" s="3"/>
      <c r="J53" s="3"/>
      <c r="P53" s="53">
        <v>45454</v>
      </c>
      <c r="Q53" s="41">
        <v>19689.69921875</v>
      </c>
      <c r="R53" s="41">
        <v>2798.44702148437</v>
      </c>
      <c r="S53" s="41">
        <f t="shared" si="0"/>
        <v>-4.2984218905036285E-3</v>
      </c>
      <c r="T53" s="41">
        <f t="shared" si="0"/>
        <v>-4.5216884722103952E-3</v>
      </c>
    </row>
    <row r="54" spans="1:20" ht="14.4">
      <c r="A54" s="3"/>
      <c r="B54" s="7" t="s">
        <v>137</v>
      </c>
      <c r="C54" s="8">
        <v>31.8</v>
      </c>
      <c r="D54" s="3" t="s">
        <v>16</v>
      </c>
      <c r="E54" s="3"/>
      <c r="F54" s="3"/>
      <c r="G54" s="3"/>
      <c r="H54" s="3"/>
      <c r="I54" s="3"/>
      <c r="J54" s="3"/>
      <c r="P54" s="53">
        <v>45455</v>
      </c>
      <c r="Q54" s="41">
        <v>19739.099609375</v>
      </c>
      <c r="R54" s="41">
        <v>2840.16357421875</v>
      </c>
      <c r="S54" s="41">
        <f t="shared" si="0"/>
        <v>2.5089459252865204E-3</v>
      </c>
      <c r="T54" s="41">
        <f t="shared" si="0"/>
        <v>1.4907036800808343E-2</v>
      </c>
    </row>
    <row r="55" spans="1:20" ht="14.4">
      <c r="A55" s="3"/>
      <c r="B55" s="7" t="s">
        <v>138</v>
      </c>
      <c r="C55" s="8" t="s">
        <v>19</v>
      </c>
      <c r="D55" s="3" t="s">
        <v>16</v>
      </c>
      <c r="E55" s="3"/>
      <c r="F55" s="3"/>
      <c r="G55" s="3"/>
      <c r="H55" s="3"/>
      <c r="I55" s="3"/>
      <c r="J55" s="3"/>
      <c r="P55" s="53">
        <v>45456</v>
      </c>
      <c r="Q55" s="41">
        <v>19838.5</v>
      </c>
      <c r="R55" s="41">
        <v>2821.90649414062</v>
      </c>
      <c r="S55" s="41">
        <f t="shared" si="0"/>
        <v>5.0357104727203573E-3</v>
      </c>
      <c r="T55" s="41">
        <f t="shared" si="0"/>
        <v>-6.4281790823093763E-3</v>
      </c>
    </row>
    <row r="56" spans="1:20" ht="14.4">
      <c r="A56" s="3"/>
      <c r="B56" s="7" t="s">
        <v>139</v>
      </c>
      <c r="C56" s="8">
        <v>0</v>
      </c>
      <c r="D56" s="3" t="s">
        <v>16</v>
      </c>
      <c r="E56" s="3"/>
      <c r="F56" s="3"/>
      <c r="G56" s="3"/>
      <c r="H56" s="3"/>
      <c r="I56" s="3"/>
      <c r="J56" s="3"/>
      <c r="P56" s="53">
        <v>45457</v>
      </c>
      <c r="Q56" s="41">
        <v>19895.650390625</v>
      </c>
      <c r="R56" s="41">
        <v>2828.97387695312</v>
      </c>
      <c r="S56" s="41">
        <f t="shared" si="0"/>
        <v>2.8807818446455126E-3</v>
      </c>
      <c r="T56" s="41">
        <f t="shared" si="0"/>
        <v>2.5044709408956842E-3</v>
      </c>
    </row>
    <row r="57" spans="1:20" ht="14.4">
      <c r="A57" s="3"/>
      <c r="B57" s="7" t="s">
        <v>140</v>
      </c>
      <c r="C57" s="8">
        <v>141.04</v>
      </c>
      <c r="D57" s="3"/>
      <c r="E57" s="3"/>
      <c r="F57" s="3"/>
      <c r="G57" s="3"/>
      <c r="H57" s="3"/>
      <c r="I57" s="3"/>
      <c r="J57" s="3"/>
      <c r="P57" s="53">
        <v>45461</v>
      </c>
      <c r="Q57" s="41">
        <v>19826.650390625</v>
      </c>
      <c r="R57" s="41">
        <v>2833.63623046875</v>
      </c>
      <c r="S57" s="41">
        <f t="shared" si="0"/>
        <v>-3.4680947164468364E-3</v>
      </c>
      <c r="T57" s="41">
        <f t="shared" si="0"/>
        <v>1.6480723111701127E-3</v>
      </c>
    </row>
    <row r="58" spans="1:20" ht="15" customHeight="1">
      <c r="J58" s="3"/>
      <c r="P58" s="53">
        <v>45462</v>
      </c>
      <c r="Q58" s="41">
        <v>19644.5</v>
      </c>
      <c r="R58" s="41">
        <v>2832.36010742187</v>
      </c>
      <c r="S58" s="41">
        <f t="shared" si="0"/>
        <v>-9.1871489654717226E-3</v>
      </c>
      <c r="T58" s="41">
        <f t="shared" si="0"/>
        <v>-4.5034822506800795E-4</v>
      </c>
    </row>
    <row r="59" spans="1:20" ht="15" customHeight="1">
      <c r="J59" s="3"/>
      <c r="P59" s="53">
        <v>45463</v>
      </c>
      <c r="Q59" s="41">
        <v>19544.55078125</v>
      </c>
      <c r="R59" s="41">
        <v>2805.41625976562</v>
      </c>
      <c r="S59" s="41">
        <f t="shared" si="0"/>
        <v>-5.0878983303214642E-3</v>
      </c>
      <c r="T59" s="41">
        <f t="shared" si="0"/>
        <v>-9.5128608772757327E-3</v>
      </c>
    </row>
    <row r="60" spans="1:20" ht="15" customHeight="1">
      <c r="P60" s="53">
        <v>45464</v>
      </c>
      <c r="Q60" s="41">
        <v>19528.400390625</v>
      </c>
      <c r="R60" s="41">
        <v>2784.90747070312</v>
      </c>
      <c r="S60" s="41">
        <f t="shared" si="0"/>
        <v>-8.2633726432299601E-4</v>
      </c>
      <c r="T60" s="41">
        <f t="shared" si="0"/>
        <v>-7.3104263907750426E-3</v>
      </c>
    </row>
    <row r="61" spans="1:20" ht="15" customHeight="1">
      <c r="P61" s="53">
        <v>45467</v>
      </c>
      <c r="Q61" s="41">
        <v>19521.150390625</v>
      </c>
      <c r="R61" s="41">
        <v>2793.95654296875</v>
      </c>
      <c r="S61" s="41">
        <f t="shared" si="0"/>
        <v>-3.7125416598281691E-4</v>
      </c>
      <c r="T61" s="41">
        <f t="shared" si="0"/>
        <v>3.2493260048404179E-3</v>
      </c>
    </row>
    <row r="62" spans="1:20" ht="15" customHeight="1">
      <c r="P62" s="53">
        <v>45468</v>
      </c>
      <c r="Q62" s="41">
        <v>19532.30078125</v>
      </c>
      <c r="R62" s="41">
        <v>2784.12036132812</v>
      </c>
      <c r="S62" s="41">
        <f t="shared" si="0"/>
        <v>5.7119536512330522E-4</v>
      </c>
      <c r="T62" s="41">
        <f t="shared" si="0"/>
        <v>-3.5205206270597384E-3</v>
      </c>
    </row>
    <row r="63" spans="1:20" ht="15" customHeight="1">
      <c r="P63" s="53">
        <v>45469</v>
      </c>
      <c r="Q63" s="41">
        <v>19545.349609375</v>
      </c>
      <c r="R63" s="41">
        <v>2744.87353515625</v>
      </c>
      <c r="S63" s="41">
        <f t="shared" si="0"/>
        <v>6.6806405815367134E-4</v>
      </c>
      <c r="T63" s="41">
        <f t="shared" si="0"/>
        <v>-1.4096670071098482E-2</v>
      </c>
    </row>
    <row r="64" spans="1:20" ht="15" customHeight="1">
      <c r="P64" s="53">
        <v>45470</v>
      </c>
      <c r="Q64" s="41">
        <v>19514.80078125</v>
      </c>
      <c r="R64" s="41">
        <v>2726.33178710937</v>
      </c>
      <c r="S64" s="41">
        <f t="shared" si="0"/>
        <v>-1.5629716907364574E-3</v>
      </c>
      <c r="T64" s="41">
        <f t="shared" si="0"/>
        <v>-6.7550463835210992E-3</v>
      </c>
    </row>
    <row r="65" spans="16:20" ht="15" customHeight="1">
      <c r="P65" s="53">
        <v>45471</v>
      </c>
      <c r="Q65" s="41">
        <v>19731.55078125</v>
      </c>
      <c r="R65" s="41">
        <v>2745.611328125</v>
      </c>
      <c r="S65" s="41">
        <f t="shared" si="0"/>
        <v>1.1106954276891998E-2</v>
      </c>
      <c r="T65" s="41">
        <f t="shared" si="0"/>
        <v>7.0716048232967992E-3</v>
      </c>
    </row>
    <row r="66" spans="16:20" ht="15" customHeight="1">
      <c r="P66" s="53">
        <v>45474</v>
      </c>
      <c r="Q66" s="41">
        <v>19758.25</v>
      </c>
      <c r="R66" s="41">
        <v>2735.67651367187</v>
      </c>
      <c r="S66" s="41">
        <f t="shared" si="0"/>
        <v>1.353123180534348E-3</v>
      </c>
      <c r="T66" s="41">
        <f t="shared" si="0"/>
        <v>-3.6184343906806964E-3</v>
      </c>
    </row>
    <row r="67" spans="16:20" ht="15" customHeight="1">
      <c r="P67" s="53">
        <v>45475</v>
      </c>
      <c r="Q67" s="41">
        <v>19786.400390625</v>
      </c>
      <c r="R67" s="41">
        <v>2773.4970703125</v>
      </c>
      <c r="S67" s="41">
        <f t="shared" si="0"/>
        <v>1.4247410891652854E-3</v>
      </c>
      <c r="T67" s="41">
        <f t="shared" si="0"/>
        <v>1.3824937433800106E-2</v>
      </c>
    </row>
    <row r="68" spans="16:20" ht="15" customHeight="1">
      <c r="P68" s="53">
        <v>45476</v>
      </c>
      <c r="Q68" s="41">
        <v>19915.30078125</v>
      </c>
      <c r="R68" s="41">
        <v>2791.05493164062</v>
      </c>
      <c r="S68" s="41">
        <f t="shared" si="0"/>
        <v>6.514595281619507E-3</v>
      </c>
      <c r="T68" s="41">
        <f t="shared" si="0"/>
        <v>6.3305858571329554E-3</v>
      </c>
    </row>
    <row r="69" spans="16:20" ht="15" customHeight="1">
      <c r="P69" s="53">
        <v>45477</v>
      </c>
      <c r="Q69" s="41">
        <v>20192.599609375</v>
      </c>
      <c r="R69" s="41">
        <v>2823.31811523437</v>
      </c>
      <c r="S69" s="41">
        <f t="shared" si="0"/>
        <v>1.3923908615333255E-2</v>
      </c>
      <c r="T69" s="41">
        <f t="shared" si="0"/>
        <v>1.1559494307331766E-2</v>
      </c>
    </row>
    <row r="70" spans="16:20" ht="15" customHeight="1">
      <c r="P70" s="53">
        <v>45478</v>
      </c>
      <c r="Q70" s="41">
        <v>20453.849609375</v>
      </c>
      <c r="R70" s="41">
        <v>2843.77783203125</v>
      </c>
      <c r="S70" s="41">
        <f t="shared" si="0"/>
        <v>1.2937908196758732E-2</v>
      </c>
      <c r="T70" s="41">
        <f t="shared" si="0"/>
        <v>7.2466919992051956E-3</v>
      </c>
    </row>
    <row r="71" spans="16:20" ht="15" customHeight="1">
      <c r="P71" s="53">
        <v>45481</v>
      </c>
      <c r="Q71" s="41">
        <v>20325.80078125</v>
      </c>
      <c r="R71" s="41">
        <v>2835.564453125</v>
      </c>
      <c r="S71" s="41">
        <f t="shared" si="0"/>
        <v>-6.2603779029600844E-3</v>
      </c>
      <c r="T71" s="41">
        <f t="shared" si="0"/>
        <v>-2.8881928868484631E-3</v>
      </c>
    </row>
    <row r="72" spans="16:20" ht="15" customHeight="1">
      <c r="P72" s="53">
        <v>45482</v>
      </c>
      <c r="Q72" s="41">
        <v>20645.80078125</v>
      </c>
      <c r="R72" s="41">
        <v>2888.041015625</v>
      </c>
      <c r="S72" s="41">
        <f t="shared" ref="S72:T135" si="3">(Q72-Q71)/Q71</f>
        <v>1.5743537164606636E-2</v>
      </c>
      <c r="T72" s="41">
        <f t="shared" si="3"/>
        <v>1.8506566635142777E-2</v>
      </c>
    </row>
    <row r="73" spans="16:20" ht="15" customHeight="1">
      <c r="P73" s="53">
        <v>45483</v>
      </c>
      <c r="Q73" s="41">
        <v>20725.94921875</v>
      </c>
      <c r="R73" s="41">
        <v>2903.43505859375</v>
      </c>
      <c r="S73" s="41">
        <f t="shared" si="3"/>
        <v>3.8820696929706311E-3</v>
      </c>
      <c r="T73" s="41">
        <f t="shared" si="3"/>
        <v>5.3302715873716844E-3</v>
      </c>
    </row>
    <row r="74" spans="16:20" ht="15" customHeight="1">
      <c r="P74" s="53">
        <v>45484</v>
      </c>
      <c r="Q74" s="41">
        <v>20601.69921875</v>
      </c>
      <c r="R74" s="41">
        <v>2909.97583007812</v>
      </c>
      <c r="S74" s="41">
        <f t="shared" si="3"/>
        <v>-5.9949003391167061E-3</v>
      </c>
      <c r="T74" s="41">
        <f t="shared" si="3"/>
        <v>2.2527700301097678E-3</v>
      </c>
    </row>
    <row r="75" spans="16:20" ht="15" customHeight="1">
      <c r="P75" s="53">
        <v>45485</v>
      </c>
      <c r="Q75" s="41">
        <v>20612.650390625</v>
      </c>
      <c r="R75" s="41">
        <v>2900.18872070312</v>
      </c>
      <c r="S75" s="41">
        <f t="shared" si="3"/>
        <v>5.3156643822045171E-4</v>
      </c>
      <c r="T75" s="41">
        <f t="shared" si="3"/>
        <v>-3.3632957613731313E-3</v>
      </c>
    </row>
    <row r="76" spans="16:20" ht="15" customHeight="1">
      <c r="P76" s="53">
        <v>45488</v>
      </c>
      <c r="Q76" s="41">
        <v>20844.55078125</v>
      </c>
      <c r="R76" s="41">
        <v>2905.35302734375</v>
      </c>
      <c r="S76" s="41">
        <f t="shared" si="3"/>
        <v>1.125039168812917E-2</v>
      </c>
      <c r="T76" s="41">
        <f t="shared" si="3"/>
        <v>1.7806795136345371E-3</v>
      </c>
    </row>
    <row r="77" spans="16:20" ht="15" customHeight="1">
      <c r="P77" s="53">
        <v>45489</v>
      </c>
      <c r="Q77" s="41">
        <v>20765.44921875</v>
      </c>
      <c r="R77" s="41">
        <v>2926.353515625</v>
      </c>
      <c r="S77" s="41">
        <f t="shared" si="3"/>
        <v>-3.7948317202956034E-3</v>
      </c>
      <c r="T77" s="41">
        <f t="shared" si="3"/>
        <v>7.2282053449628184E-3</v>
      </c>
    </row>
    <row r="78" spans="16:20" ht="15" customHeight="1">
      <c r="P78" s="53">
        <v>45491</v>
      </c>
      <c r="Q78" s="41">
        <v>20768.349609375</v>
      </c>
      <c r="R78" s="41">
        <v>3008.24096679687</v>
      </c>
      <c r="S78" s="41">
        <f t="shared" si="3"/>
        <v>1.3967386857112221E-4</v>
      </c>
      <c r="T78" s="41">
        <f t="shared" si="3"/>
        <v>2.7982761048738425E-2</v>
      </c>
    </row>
    <row r="79" spans="16:20" ht="15" customHeight="1">
      <c r="P79" s="53">
        <v>45492</v>
      </c>
      <c r="Q79" s="41">
        <v>20425.400390625</v>
      </c>
      <c r="R79" s="41">
        <v>2898.12329101562</v>
      </c>
      <c r="S79" s="41">
        <f t="shared" si="3"/>
        <v>-1.6513070378745453E-2</v>
      </c>
      <c r="T79" s="41">
        <f t="shared" si="3"/>
        <v>-3.6605337470189979E-2</v>
      </c>
    </row>
    <row r="80" spans="16:20" ht="15" customHeight="1">
      <c r="P80" s="53">
        <v>45495</v>
      </c>
      <c r="Q80" s="41">
        <v>20641.55078125</v>
      </c>
      <c r="R80" s="41">
        <v>2980.20751953125</v>
      </c>
      <c r="S80" s="41">
        <f t="shared" si="3"/>
        <v>1.0582431016833838E-2</v>
      </c>
      <c r="T80" s="41">
        <f t="shared" si="3"/>
        <v>2.8323235512476889E-2</v>
      </c>
    </row>
    <row r="81" spans="16:20" ht="15" customHeight="1">
      <c r="P81" s="53">
        <v>45496</v>
      </c>
      <c r="Q81" s="41">
        <v>20755.349609375</v>
      </c>
      <c r="R81" s="41">
        <v>3087.32495117187</v>
      </c>
      <c r="S81" s="41">
        <f t="shared" si="3"/>
        <v>5.5130948895744077E-3</v>
      </c>
      <c r="T81" s="41">
        <f t="shared" si="3"/>
        <v>3.5942943885152082E-2</v>
      </c>
    </row>
    <row r="82" spans="16:20" ht="15" customHeight="1">
      <c r="P82" s="53">
        <v>45497</v>
      </c>
      <c r="Q82" s="41">
        <v>20908.5</v>
      </c>
      <c r="R82" s="41">
        <v>3094.40698242187</v>
      </c>
      <c r="S82" s="41">
        <f t="shared" si="3"/>
        <v>7.3788393598450096E-3</v>
      </c>
      <c r="T82" s="41">
        <f t="shared" si="3"/>
        <v>2.293905358848553E-3</v>
      </c>
    </row>
    <row r="83" spans="16:20" ht="15" customHeight="1">
      <c r="P83" s="53">
        <v>45498</v>
      </c>
      <c r="Q83" s="41">
        <v>21105.5</v>
      </c>
      <c r="R83" s="41">
        <v>3034.74975585937</v>
      </c>
      <c r="S83" s="41">
        <f t="shared" si="3"/>
        <v>9.4220054045005622E-3</v>
      </c>
      <c r="T83" s="41">
        <f t="shared" si="3"/>
        <v>-1.9279049879795916E-2</v>
      </c>
    </row>
    <row r="84" spans="16:20" ht="15" customHeight="1">
      <c r="P84" s="53">
        <v>45499</v>
      </c>
      <c r="Q84" s="41">
        <v>21603.099609375</v>
      </c>
      <c r="R84" s="41">
        <v>3142.60498046875</v>
      </c>
      <c r="S84" s="41">
        <f t="shared" si="3"/>
        <v>2.3576774270924642E-2</v>
      </c>
      <c r="T84" s="41">
        <f t="shared" si="3"/>
        <v>3.5540071928875705E-2</v>
      </c>
    </row>
    <row r="85" spans="16:20" ht="15" customHeight="1">
      <c r="P85" s="53">
        <v>45502</v>
      </c>
      <c r="Q85" s="41">
        <v>21674.94921875</v>
      </c>
      <c r="R85" s="41">
        <v>3146.04760742187</v>
      </c>
      <c r="S85" s="41">
        <f t="shared" si="3"/>
        <v>3.3258935372320253E-3</v>
      </c>
      <c r="T85" s="41">
        <f t="shared" si="3"/>
        <v>1.0954691965792331E-3</v>
      </c>
    </row>
    <row r="86" spans="16:20" ht="15" customHeight="1">
      <c r="P86" s="53">
        <v>45503</v>
      </c>
      <c r="Q86" s="41">
        <v>21540.80078125</v>
      </c>
      <c r="R86" s="41">
        <v>3060.22583007812</v>
      </c>
      <c r="S86" s="41">
        <f t="shared" si="3"/>
        <v>-6.1891004286162002E-3</v>
      </c>
      <c r="T86" s="41">
        <f t="shared" si="3"/>
        <v>-2.7279236697272811E-2</v>
      </c>
    </row>
    <row r="87" spans="16:20" ht="15" customHeight="1">
      <c r="P87" s="53">
        <v>45504</v>
      </c>
      <c r="Q87" s="41">
        <v>21777.150390625</v>
      </c>
      <c r="R87" s="41">
        <v>3119.833984375</v>
      </c>
      <c r="S87" s="41">
        <f t="shared" si="3"/>
        <v>1.0972183057406503E-2</v>
      </c>
      <c r="T87" s="41">
        <f t="shared" si="3"/>
        <v>1.9478351470341767E-2</v>
      </c>
    </row>
    <row r="88" spans="16:20" ht="15" customHeight="1">
      <c r="P88" s="53">
        <v>45505</v>
      </c>
      <c r="Q88" s="41">
        <v>21790.349609375</v>
      </c>
      <c r="R88" s="41">
        <v>3152.53979492187</v>
      </c>
      <c r="S88" s="41">
        <f t="shared" si="3"/>
        <v>6.061040362600529E-4</v>
      </c>
      <c r="T88" s="41">
        <f t="shared" si="3"/>
        <v>1.0483189397471093E-2</v>
      </c>
    </row>
    <row r="89" spans="16:20" ht="15" customHeight="1">
      <c r="P89" s="53">
        <v>45506</v>
      </c>
      <c r="Q89" s="41">
        <v>21902.849609375</v>
      </c>
      <c r="R89" s="41">
        <v>3175.26171875</v>
      </c>
      <c r="S89" s="41">
        <f t="shared" si="3"/>
        <v>5.1628359350231997E-3</v>
      </c>
      <c r="T89" s="41">
        <f t="shared" si="3"/>
        <v>7.207497860845599E-3</v>
      </c>
    </row>
    <row r="90" spans="16:20" ht="15" customHeight="1">
      <c r="P90" s="53">
        <v>45509</v>
      </c>
      <c r="Q90" s="41">
        <v>21583.05078125</v>
      </c>
      <c r="R90" s="41">
        <v>3115.65356445312</v>
      </c>
      <c r="S90" s="41">
        <f t="shared" si="3"/>
        <v>-1.4600786373847796E-2</v>
      </c>
      <c r="T90" s="41">
        <f t="shared" si="3"/>
        <v>-1.8772674373546079E-2</v>
      </c>
    </row>
    <row r="91" spans="16:20" ht="15" customHeight="1">
      <c r="P91" s="53">
        <v>45510</v>
      </c>
      <c r="Q91" s="41">
        <v>21562.55078125</v>
      </c>
      <c r="R91" s="41">
        <v>3167.83520507812</v>
      </c>
      <c r="S91" s="41">
        <f t="shared" si="3"/>
        <v>-9.4981938409787337E-4</v>
      </c>
      <c r="T91" s="41">
        <f t="shared" si="3"/>
        <v>1.6748216560514572E-2</v>
      </c>
    </row>
    <row r="92" spans="16:20" ht="15" customHeight="1">
      <c r="P92" s="53">
        <v>45511</v>
      </c>
      <c r="Q92" s="41">
        <v>22036.94921875</v>
      </c>
      <c r="R92" s="41">
        <v>3269.24731445312</v>
      </c>
      <c r="S92" s="41">
        <f t="shared" si="3"/>
        <v>2.2001035142489699E-2</v>
      </c>
      <c r="T92" s="41">
        <f t="shared" si="3"/>
        <v>3.2013063436012651E-2</v>
      </c>
    </row>
    <row r="93" spans="16:20" ht="15" customHeight="1">
      <c r="P93" s="53">
        <v>45512</v>
      </c>
      <c r="Q93" s="41">
        <v>22114.25</v>
      </c>
      <c r="R93" s="41">
        <v>3278.837890625</v>
      </c>
      <c r="S93" s="41">
        <f t="shared" si="3"/>
        <v>3.5077805227335694E-3</v>
      </c>
      <c r="T93" s="41">
        <f t="shared" si="3"/>
        <v>2.9335731590206461E-3</v>
      </c>
    </row>
    <row r="94" spans="16:20" ht="15" customHeight="1">
      <c r="P94" s="53">
        <v>45513</v>
      </c>
      <c r="Q94" s="41">
        <v>22209.55078125</v>
      </c>
      <c r="R94" s="41">
        <v>3283.75634765625</v>
      </c>
      <c r="S94" s="41">
        <f t="shared" si="3"/>
        <v>4.3094738121347096E-3</v>
      </c>
      <c r="T94" s="41">
        <f t="shared" si="3"/>
        <v>1.5000610567887703E-3</v>
      </c>
    </row>
    <row r="95" spans="16:20" ht="15" customHeight="1">
      <c r="P95" s="53">
        <v>45516</v>
      </c>
      <c r="Q95" s="41">
        <v>22205.599609375</v>
      </c>
      <c r="R95" s="41">
        <v>3282.62475585937</v>
      </c>
      <c r="S95" s="41">
        <f t="shared" si="3"/>
        <v>-1.7790417797804823E-4</v>
      </c>
      <c r="T95" s="41">
        <f t="shared" si="3"/>
        <v>-3.4460285023511723E-4</v>
      </c>
    </row>
    <row r="96" spans="16:20" ht="15" customHeight="1">
      <c r="P96" s="53">
        <v>45517</v>
      </c>
      <c r="Q96" s="41">
        <v>22191.599609375</v>
      </c>
      <c r="R96" s="41">
        <v>3308.3466796875</v>
      </c>
      <c r="S96" s="41">
        <f t="shared" si="3"/>
        <v>-6.304716038421826E-4</v>
      </c>
      <c r="T96" s="41">
        <f t="shared" si="3"/>
        <v>7.8357795182703322E-3</v>
      </c>
    </row>
    <row r="97" spans="16:20" ht="15" customHeight="1">
      <c r="P97" s="53">
        <v>45518</v>
      </c>
      <c r="Q97" s="41">
        <v>22012.69921875</v>
      </c>
      <c r="R97" s="41">
        <v>3293.93676757812</v>
      </c>
      <c r="S97" s="41">
        <f t="shared" si="3"/>
        <v>-8.061626641345054E-3</v>
      </c>
      <c r="T97" s="41">
        <f t="shared" si="3"/>
        <v>-4.3556233685706526E-3</v>
      </c>
    </row>
    <row r="98" spans="16:20" ht="15" customHeight="1">
      <c r="P98" s="53">
        <v>45520</v>
      </c>
      <c r="Q98" s="41">
        <v>22106.5</v>
      </c>
      <c r="R98" s="41">
        <v>3293.3955078125</v>
      </c>
      <c r="S98" s="41">
        <f t="shared" si="3"/>
        <v>4.2612121447651577E-3</v>
      </c>
      <c r="T98" s="41">
        <f t="shared" si="3"/>
        <v>-1.6432002306406178E-4</v>
      </c>
    </row>
    <row r="99" spans="16:20" ht="15" customHeight="1">
      <c r="P99" s="53">
        <v>45523</v>
      </c>
      <c r="Q99" s="41">
        <v>22237.849609375</v>
      </c>
      <c r="R99" s="41">
        <v>3294.52685546875</v>
      </c>
      <c r="S99" s="41">
        <f t="shared" si="3"/>
        <v>5.9416736876031937E-3</v>
      </c>
      <c r="T99" s="41">
        <f t="shared" si="3"/>
        <v>3.4352013099132764E-4</v>
      </c>
    </row>
    <row r="100" spans="16:20" ht="15" customHeight="1">
      <c r="P100" s="53">
        <v>45524</v>
      </c>
      <c r="Q100" s="41">
        <v>22374.25</v>
      </c>
      <c r="R100" s="41">
        <v>3307.46166992187</v>
      </c>
      <c r="S100" s="41">
        <f t="shared" si="3"/>
        <v>6.1337041584945571E-3</v>
      </c>
      <c r="T100" s="41">
        <f t="shared" si="3"/>
        <v>3.9261523795591016E-3</v>
      </c>
    </row>
    <row r="101" spans="16:20" ht="15" customHeight="1">
      <c r="P101" s="53">
        <v>45525</v>
      </c>
      <c r="Q101" s="41">
        <v>22577.900390625</v>
      </c>
      <c r="R101" s="41">
        <v>3295.904296875</v>
      </c>
      <c r="S101" s="41">
        <f t="shared" si="3"/>
        <v>9.1019985306770058E-3</v>
      </c>
      <c r="T101" s="41">
        <f t="shared" si="3"/>
        <v>-3.4943331776065632E-3</v>
      </c>
    </row>
    <row r="102" spans="16:20" ht="15" customHeight="1">
      <c r="P102" s="53">
        <v>45526</v>
      </c>
      <c r="Q102" s="41">
        <v>22546.099609375</v>
      </c>
      <c r="R102" s="41">
        <v>3307.56030273437</v>
      </c>
      <c r="S102" s="41">
        <f t="shared" si="3"/>
        <v>-1.4084915204606275E-3</v>
      </c>
      <c r="T102" s="41">
        <f t="shared" si="3"/>
        <v>3.5365122313841448E-3</v>
      </c>
    </row>
    <row r="103" spans="16:20" ht="15" customHeight="1">
      <c r="P103" s="53">
        <v>45527</v>
      </c>
      <c r="Q103" s="41">
        <v>22527.849609375</v>
      </c>
      <c r="R103" s="41">
        <v>3294.52685546875</v>
      </c>
      <c r="S103" s="41">
        <f t="shared" si="3"/>
        <v>-8.0945264663034584E-4</v>
      </c>
      <c r="T103" s="41">
        <f t="shared" si="3"/>
        <v>-3.9405017815836068E-3</v>
      </c>
    </row>
    <row r="104" spans="16:20" ht="15" customHeight="1">
      <c r="P104" s="53">
        <v>45530</v>
      </c>
      <c r="Q104" s="41">
        <v>22554.94921875</v>
      </c>
      <c r="R104" s="41">
        <v>3288.083984375</v>
      </c>
      <c r="S104" s="41">
        <f t="shared" si="3"/>
        <v>1.2029381341272119E-3</v>
      </c>
      <c r="T104" s="41">
        <f t="shared" si="3"/>
        <v>-1.955628646054336E-3</v>
      </c>
    </row>
    <row r="105" spans="16:20" ht="15" customHeight="1">
      <c r="P105" s="53">
        <v>45531</v>
      </c>
      <c r="Q105" s="41">
        <v>22729</v>
      </c>
      <c r="R105" s="41">
        <v>3306.96997070312</v>
      </c>
      <c r="S105" s="41">
        <f t="shared" si="3"/>
        <v>7.7167445407197392E-3</v>
      </c>
      <c r="T105" s="41">
        <f t="shared" si="3"/>
        <v>5.743766405562129E-3</v>
      </c>
    </row>
    <row r="106" spans="16:20" ht="15" customHeight="1">
      <c r="P106" s="53">
        <v>45532</v>
      </c>
      <c r="Q106" s="41">
        <v>22989.099609375</v>
      </c>
      <c r="R106" s="41">
        <v>3363.4794921875</v>
      </c>
      <c r="S106" s="41">
        <f t="shared" si="3"/>
        <v>1.1443513105503981E-2</v>
      </c>
      <c r="T106" s="41">
        <f t="shared" si="3"/>
        <v>1.7088005632045423E-2</v>
      </c>
    </row>
    <row r="107" spans="16:20" ht="15" customHeight="1">
      <c r="P107" s="53">
        <v>45533</v>
      </c>
      <c r="Q107" s="41">
        <v>22878.05078125</v>
      </c>
      <c r="R107" s="41">
        <v>3378.33251953125</v>
      </c>
      <c r="S107" s="41">
        <f t="shared" si="3"/>
        <v>-4.8304992371129693E-3</v>
      </c>
      <c r="T107" s="41">
        <f t="shared" si="3"/>
        <v>4.4159708356330913E-3</v>
      </c>
    </row>
    <row r="108" spans="16:20" ht="15" customHeight="1">
      <c r="P108" s="53">
        <v>45534</v>
      </c>
      <c r="Q108" s="41">
        <v>23217.599609375</v>
      </c>
      <c r="R108" s="41">
        <v>3428.10424804687</v>
      </c>
      <c r="S108" s="41">
        <f t="shared" si="3"/>
        <v>1.4841685219235618E-2</v>
      </c>
      <c r="T108" s="41">
        <f t="shared" si="3"/>
        <v>1.4732631624587956E-2</v>
      </c>
    </row>
    <row r="109" spans="16:20" ht="15" customHeight="1">
      <c r="P109" s="53">
        <v>45537</v>
      </c>
      <c r="Q109" s="41">
        <v>22987.44921875</v>
      </c>
      <c r="R109" s="41">
        <v>3373.61083984375</v>
      </c>
      <c r="S109" s="41">
        <f t="shared" si="3"/>
        <v>-9.9127556033858002E-3</v>
      </c>
      <c r="T109" s="41">
        <f t="shared" si="3"/>
        <v>-1.5896076741005499E-2</v>
      </c>
    </row>
    <row r="110" spans="16:20" ht="15" customHeight="1">
      <c r="P110" s="53">
        <v>45538</v>
      </c>
      <c r="Q110" s="41">
        <v>23014.30078125</v>
      </c>
      <c r="R110" s="41">
        <v>3370.02075195312</v>
      </c>
      <c r="S110" s="41">
        <f t="shared" si="3"/>
        <v>1.1680966532858369E-3</v>
      </c>
      <c r="T110" s="41">
        <f t="shared" si="3"/>
        <v>-1.0641677600242351E-3</v>
      </c>
    </row>
    <row r="111" spans="16:20" ht="15" customHeight="1">
      <c r="P111" s="53">
        <v>45539</v>
      </c>
      <c r="Q111" s="41">
        <v>23184.400390625</v>
      </c>
      <c r="R111" s="41">
        <v>3406.16918945312</v>
      </c>
      <c r="S111" s="41">
        <f t="shared" si="3"/>
        <v>7.3910396406038975E-3</v>
      </c>
      <c r="T111" s="41">
        <f t="shared" si="3"/>
        <v>1.0726473265498413E-2</v>
      </c>
    </row>
    <row r="112" spans="16:20" ht="15" customHeight="1">
      <c r="P112" s="53">
        <v>45540</v>
      </c>
      <c r="Q112" s="41">
        <v>23156.69921875</v>
      </c>
      <c r="R112" s="41">
        <v>3386.15234375</v>
      </c>
      <c r="S112" s="41">
        <f t="shared" si="3"/>
        <v>-1.1948194220369585E-3</v>
      </c>
      <c r="T112" s="41">
        <f t="shared" si="3"/>
        <v>-5.8766445792241507E-3</v>
      </c>
    </row>
    <row r="113" spans="16:20" ht="15" customHeight="1">
      <c r="P113" s="53">
        <v>45541</v>
      </c>
      <c r="Q113" s="41">
        <v>23043.400390625</v>
      </c>
      <c r="R113" s="41">
        <v>3360.7744140625</v>
      </c>
      <c r="S113" s="41">
        <f t="shared" si="3"/>
        <v>-4.8927019803090867E-3</v>
      </c>
      <c r="T113" s="41">
        <f t="shared" si="3"/>
        <v>-7.4946213611272938E-3</v>
      </c>
    </row>
    <row r="114" spans="16:20" ht="15" customHeight="1">
      <c r="P114" s="53">
        <v>45544</v>
      </c>
      <c r="Q114" s="41">
        <v>23009.400390625</v>
      </c>
      <c r="R114" s="41">
        <v>3374.93872070312</v>
      </c>
      <c r="S114" s="41">
        <f t="shared" si="3"/>
        <v>-1.4754766841543314E-3</v>
      </c>
      <c r="T114" s="41">
        <f t="shared" si="3"/>
        <v>4.21459607087945E-3</v>
      </c>
    </row>
    <row r="115" spans="16:20" ht="15" customHeight="1">
      <c r="P115" s="53">
        <v>45545</v>
      </c>
      <c r="Q115" s="41">
        <v>23256.849609375</v>
      </c>
      <c r="R115" s="41">
        <v>3370.06982421875</v>
      </c>
      <c r="S115" s="41">
        <f t="shared" si="3"/>
        <v>1.0754266280264359E-2</v>
      </c>
      <c r="T115" s="41">
        <f t="shared" si="3"/>
        <v>-1.4426621895391432E-3</v>
      </c>
    </row>
    <row r="116" spans="16:20" ht="15" customHeight="1">
      <c r="P116" s="53">
        <v>45546</v>
      </c>
      <c r="Q116" s="41">
        <v>23220.400390625</v>
      </c>
      <c r="R116" s="41">
        <v>3379.31616210937</v>
      </c>
      <c r="S116" s="41">
        <f t="shared" si="3"/>
        <v>-1.5672466117382924E-3</v>
      </c>
      <c r="T116" s="41">
        <f t="shared" si="3"/>
        <v>2.7436635953866284E-3</v>
      </c>
    </row>
    <row r="117" spans="16:20" ht="15" customHeight="1">
      <c r="P117" s="53">
        <v>45547</v>
      </c>
      <c r="Q117" s="41">
        <v>23429.599609375</v>
      </c>
      <c r="R117" s="41">
        <v>3404.7919921875</v>
      </c>
      <c r="S117" s="41">
        <f t="shared" si="3"/>
        <v>9.0092855950262615E-3</v>
      </c>
      <c r="T117" s="41">
        <f t="shared" si="3"/>
        <v>7.5387530660132084E-3</v>
      </c>
    </row>
    <row r="118" spans="16:20" ht="15" customHeight="1">
      <c r="P118" s="53">
        <v>45548</v>
      </c>
      <c r="Q118" s="41">
        <v>23457.650390625</v>
      </c>
      <c r="R118" s="41">
        <v>3395.20141601562</v>
      </c>
      <c r="S118" s="41">
        <f t="shared" si="3"/>
        <v>1.1972369019390286E-3</v>
      </c>
      <c r="T118" s="41">
        <f t="shared" si="3"/>
        <v>-2.8167876903746709E-3</v>
      </c>
    </row>
    <row r="119" spans="16:20" ht="15" customHeight="1">
      <c r="P119" s="53">
        <v>45551</v>
      </c>
      <c r="Q119" s="41">
        <v>23448.75</v>
      </c>
      <c r="R119" s="41">
        <v>3397.36547851562</v>
      </c>
      <c r="S119" s="41">
        <f t="shared" si="3"/>
        <v>-3.7942379039620686E-4</v>
      </c>
      <c r="T119" s="41">
        <f t="shared" si="3"/>
        <v>6.3738854778742351E-4</v>
      </c>
    </row>
    <row r="120" spans="16:20" ht="15" customHeight="1">
      <c r="P120" s="53">
        <v>45552</v>
      </c>
      <c r="Q120" s="41">
        <v>23383.650390625</v>
      </c>
      <c r="R120" s="41">
        <v>3396.72607421875</v>
      </c>
      <c r="S120" s="41">
        <f t="shared" si="3"/>
        <v>-2.7762507329815024E-3</v>
      </c>
      <c r="T120" s="41">
        <f t="shared" si="3"/>
        <v>-1.8820592041494662E-4</v>
      </c>
    </row>
    <row r="121" spans="16:20" ht="15" customHeight="1">
      <c r="P121" s="53">
        <v>45553</v>
      </c>
      <c r="Q121" s="41">
        <v>23025.19921875</v>
      </c>
      <c r="R121" s="41">
        <v>3304.609375</v>
      </c>
      <c r="S121" s="41">
        <f t="shared" si="3"/>
        <v>-1.5329136635514815E-2</v>
      </c>
      <c r="T121" s="41">
        <f t="shared" si="3"/>
        <v>-2.7119260489657508E-2</v>
      </c>
    </row>
    <row r="122" spans="16:20" ht="15" customHeight="1">
      <c r="P122" s="53">
        <v>45554</v>
      </c>
      <c r="Q122" s="41">
        <v>22930.150390625</v>
      </c>
      <c r="R122" s="41">
        <v>3297.03515625</v>
      </c>
      <c r="S122" s="41">
        <f t="shared" si="3"/>
        <v>-4.1280349942683378E-3</v>
      </c>
      <c r="T122" s="41">
        <f t="shared" si="3"/>
        <v>-2.2920163597248164E-3</v>
      </c>
    </row>
    <row r="123" spans="16:20" ht="15" customHeight="1">
      <c r="P123" s="53">
        <v>45555</v>
      </c>
      <c r="Q123" s="41">
        <v>23005.25</v>
      </c>
      <c r="R123" s="41">
        <v>3401.20166015625</v>
      </c>
      <c r="S123" s="41">
        <f t="shared" si="3"/>
        <v>3.2751468305111729E-3</v>
      </c>
      <c r="T123" s="41">
        <f t="shared" si="3"/>
        <v>3.1593992471929684E-2</v>
      </c>
    </row>
    <row r="124" spans="16:20" ht="15" customHeight="1">
      <c r="P124" s="53">
        <v>45558</v>
      </c>
      <c r="Q124" s="41">
        <v>23134.25</v>
      </c>
      <c r="R124" s="41">
        <v>3401.05395507812</v>
      </c>
      <c r="S124" s="41">
        <f t="shared" si="3"/>
        <v>5.6074156985905389E-3</v>
      </c>
      <c r="T124" s="41">
        <f t="shared" si="3"/>
        <v>-4.3427321543532559E-5</v>
      </c>
    </row>
    <row r="125" spans="16:20" ht="15" customHeight="1">
      <c r="P125" s="53">
        <v>45559</v>
      </c>
      <c r="Q125" s="41">
        <v>23188.400390625</v>
      </c>
      <c r="R125" s="41">
        <v>3414.08715820312</v>
      </c>
      <c r="S125" s="41">
        <f t="shared" si="3"/>
        <v>2.3407022326204655E-3</v>
      </c>
      <c r="T125" s="41">
        <f t="shared" si="3"/>
        <v>3.8321071341841256E-3</v>
      </c>
    </row>
    <row r="126" spans="16:20" ht="15" customHeight="1">
      <c r="P126" s="53">
        <v>45560</v>
      </c>
      <c r="Q126" s="41">
        <v>23249</v>
      </c>
      <c r="R126" s="41">
        <v>3371.93872070312</v>
      </c>
      <c r="S126" s="41">
        <f t="shared" si="3"/>
        <v>2.6133587636127001E-3</v>
      </c>
      <c r="T126" s="41">
        <f t="shared" si="3"/>
        <v>-1.234544859194025E-2</v>
      </c>
    </row>
    <row r="127" spans="16:20" ht="15" customHeight="1">
      <c r="P127" s="53">
        <v>45561</v>
      </c>
      <c r="Q127" s="41">
        <v>23250.900390625</v>
      </c>
      <c r="R127" s="41">
        <v>3356.44653320312</v>
      </c>
      <c r="S127" s="41">
        <f t="shared" si="3"/>
        <v>8.1740746913845755E-5</v>
      </c>
      <c r="T127" s="41">
        <f t="shared" si="3"/>
        <v>-4.5944451495754214E-3</v>
      </c>
    </row>
    <row r="128" spans="16:20" ht="15" customHeight="1">
      <c r="P128" s="53">
        <v>45562</v>
      </c>
      <c r="Q128" s="41">
        <v>23519.099609375</v>
      </c>
      <c r="R128" s="41">
        <v>3425.595703125</v>
      </c>
      <c r="S128" s="41">
        <f t="shared" si="3"/>
        <v>1.1535003558749951E-2</v>
      </c>
      <c r="T128" s="41">
        <f t="shared" si="3"/>
        <v>2.0601898239055113E-2</v>
      </c>
    </row>
    <row r="129" spans="16:20" ht="15" customHeight="1">
      <c r="P129" s="53">
        <v>45565</v>
      </c>
      <c r="Q129" s="41">
        <v>23281.19921875</v>
      </c>
      <c r="R129" s="41">
        <v>3340.95434570312</v>
      </c>
      <c r="S129" s="41">
        <f t="shared" si="3"/>
        <v>-1.0115199755783594E-2</v>
      </c>
      <c r="T129" s="41">
        <f t="shared" si="3"/>
        <v>-2.4708507587356533E-2</v>
      </c>
    </row>
    <row r="130" spans="16:20" ht="15" customHeight="1">
      <c r="P130" s="53">
        <v>45566</v>
      </c>
      <c r="Q130" s="41">
        <v>23296.55078125</v>
      </c>
      <c r="R130" s="41">
        <v>3314.74047851562</v>
      </c>
      <c r="S130" s="41">
        <f t="shared" si="3"/>
        <v>6.5939741143730679E-4</v>
      </c>
      <c r="T130" s="41">
        <f t="shared" si="3"/>
        <v>-7.8462213113490373E-3</v>
      </c>
    </row>
    <row r="131" spans="16:20" ht="15" customHeight="1">
      <c r="P131" s="53">
        <v>45568</v>
      </c>
      <c r="Q131" s="41">
        <v>23178.75</v>
      </c>
      <c r="R131" s="41">
        <v>3336.62622070312</v>
      </c>
      <c r="S131" s="41">
        <f t="shared" si="3"/>
        <v>-5.0565760724034219E-3</v>
      </c>
      <c r="T131" s="41">
        <f t="shared" si="3"/>
        <v>6.6025507364307129E-3</v>
      </c>
    </row>
    <row r="132" spans="16:20" ht="15" customHeight="1">
      <c r="P132" s="53">
        <v>45569</v>
      </c>
      <c r="Q132" s="41">
        <v>23094.69921875</v>
      </c>
      <c r="R132" s="41">
        <v>3416.69409179687</v>
      </c>
      <c r="S132" s="41">
        <f t="shared" si="3"/>
        <v>-3.6261999137140702E-3</v>
      </c>
      <c r="T132" s="41">
        <f t="shared" si="3"/>
        <v>2.3996655842642593E-2</v>
      </c>
    </row>
    <row r="133" spans="16:20" ht="15" customHeight="1">
      <c r="P133" s="53">
        <v>45572</v>
      </c>
      <c r="Q133" s="41">
        <v>22977.80078125</v>
      </c>
      <c r="R133" s="41">
        <v>3349.3642578125</v>
      </c>
      <c r="S133" s="41">
        <f t="shared" si="3"/>
        <v>-5.0616999335108522E-3</v>
      </c>
      <c r="T133" s="41">
        <f t="shared" si="3"/>
        <v>-1.9706134694944446E-2</v>
      </c>
    </row>
    <row r="134" spans="16:20" ht="15" customHeight="1">
      <c r="P134" s="53">
        <v>45573</v>
      </c>
      <c r="Q134" s="41">
        <v>23307.94921875</v>
      </c>
      <c r="R134" s="41">
        <v>3459.87524414062</v>
      </c>
      <c r="S134" s="41">
        <f t="shared" si="3"/>
        <v>1.4368147789382993E-2</v>
      </c>
      <c r="T134" s="41">
        <f t="shared" si="3"/>
        <v>3.2994615640968152E-2</v>
      </c>
    </row>
    <row r="135" spans="16:20" ht="15" customHeight="1">
      <c r="P135" s="53">
        <v>45574</v>
      </c>
      <c r="Q135" s="41">
        <v>23783.80078125</v>
      </c>
      <c r="R135" s="41">
        <v>3499.02416992187</v>
      </c>
      <c r="S135" s="41">
        <f t="shared" si="3"/>
        <v>2.0415848603153933E-2</v>
      </c>
      <c r="T135" s="41">
        <f t="shared" si="3"/>
        <v>1.131512641895098E-2</v>
      </c>
    </row>
    <row r="136" spans="16:20" ht="15" customHeight="1">
      <c r="P136" s="53">
        <v>45575</v>
      </c>
      <c r="Q136" s="41">
        <v>23305.150390625</v>
      </c>
      <c r="R136" s="41">
        <v>3386.88989257812</v>
      </c>
      <c r="S136" s="41">
        <f t="shared" ref="S136:T199" si="4">(Q136-Q135)/Q135</f>
        <v>-2.0125058859488298E-2</v>
      </c>
      <c r="T136" s="41">
        <f t="shared" si="4"/>
        <v>-3.2047300018008693E-2</v>
      </c>
    </row>
    <row r="137" spans="16:20" ht="15" customHeight="1">
      <c r="P137" s="53">
        <v>45576</v>
      </c>
      <c r="Q137" s="41">
        <v>23582.25</v>
      </c>
      <c r="R137" s="41">
        <v>3439.80932617187</v>
      </c>
      <c r="S137" s="41">
        <f t="shared" si="4"/>
        <v>1.1890058838087109E-2</v>
      </c>
      <c r="T137" s="41">
        <f t="shared" si="4"/>
        <v>1.5624787126890454E-2</v>
      </c>
    </row>
    <row r="138" spans="16:20" ht="15" customHeight="1">
      <c r="P138" s="53">
        <v>45579</v>
      </c>
      <c r="Q138" s="41">
        <v>23680</v>
      </c>
      <c r="R138" s="41">
        <v>3432.82543945312</v>
      </c>
      <c r="S138" s="41">
        <f t="shared" si="4"/>
        <v>4.1450667345143064E-3</v>
      </c>
      <c r="T138" s="41">
        <f t="shared" si="4"/>
        <v>-2.0303121645763719E-3</v>
      </c>
    </row>
    <row r="139" spans="16:20" ht="15" customHeight="1">
      <c r="P139" s="53">
        <v>45580</v>
      </c>
      <c r="Q139" s="41">
        <v>23555.69921875</v>
      </c>
      <c r="R139" s="41">
        <v>3440.3505859375</v>
      </c>
      <c r="S139" s="41">
        <f t="shared" si="4"/>
        <v>-5.249188397381757E-3</v>
      </c>
      <c r="T139" s="41">
        <f t="shared" si="4"/>
        <v>2.1921145182316132E-3</v>
      </c>
    </row>
    <row r="140" spans="16:20" ht="15" customHeight="1">
      <c r="P140" s="53">
        <v>45581</v>
      </c>
      <c r="Q140" s="41">
        <v>23467.349609375</v>
      </c>
      <c r="R140" s="41">
        <v>3457.80981445312</v>
      </c>
      <c r="S140" s="41">
        <f t="shared" si="4"/>
        <v>-3.7506680890489114E-3</v>
      </c>
      <c r="T140" s="41">
        <f t="shared" si="4"/>
        <v>5.0748399267751768E-3</v>
      </c>
    </row>
    <row r="141" spans="16:20" ht="15" customHeight="1">
      <c r="P141" s="53">
        <v>45582</v>
      </c>
      <c r="Q141" s="41">
        <v>23254</v>
      </c>
      <c r="R141" s="41">
        <v>3341.052734375</v>
      </c>
      <c r="S141" s="41">
        <f t="shared" si="4"/>
        <v>-9.0913380899975468E-3</v>
      </c>
      <c r="T141" s="41">
        <f t="shared" si="4"/>
        <v>-3.3766194887322354E-2</v>
      </c>
    </row>
    <row r="142" spans="16:20" ht="15" customHeight="1">
      <c r="P142" s="53">
        <v>45583</v>
      </c>
      <c r="Q142" s="41">
        <v>23356.19921875</v>
      </c>
      <c r="R142" s="41">
        <v>3393.03759765625</v>
      </c>
      <c r="S142" s="41">
        <f t="shared" si="4"/>
        <v>4.3949092091683153E-3</v>
      </c>
      <c r="T142" s="41">
        <f t="shared" si="4"/>
        <v>1.5559426149247728E-2</v>
      </c>
    </row>
    <row r="143" spans="16:20" ht="15" customHeight="1">
      <c r="P143" s="53">
        <v>45586</v>
      </c>
      <c r="Q143" s="41">
        <v>23122.69921875</v>
      </c>
      <c r="R143" s="41">
        <v>3336.97045898437</v>
      </c>
      <c r="S143" s="41">
        <f t="shared" si="4"/>
        <v>-9.9973457929982794E-3</v>
      </c>
      <c r="T143" s="41">
        <f t="shared" si="4"/>
        <v>-1.6524172532190191E-2</v>
      </c>
    </row>
    <row r="144" spans="16:20" ht="15" customHeight="1">
      <c r="P144" s="53">
        <v>45587</v>
      </c>
      <c r="Q144" s="41">
        <v>22828.19921875</v>
      </c>
      <c r="R144" s="41">
        <v>3284.98559570312</v>
      </c>
      <c r="S144" s="41">
        <f t="shared" si="4"/>
        <v>-1.2736402321109314E-2</v>
      </c>
      <c r="T144" s="41">
        <f t="shared" si="4"/>
        <v>-1.5578460738628161E-2</v>
      </c>
    </row>
    <row r="145" spans="16:20" ht="15" customHeight="1">
      <c r="P145" s="53">
        <v>45588</v>
      </c>
      <c r="Q145" s="41">
        <v>22471.599609375</v>
      </c>
      <c r="R145" s="41">
        <v>3264.62451171875</v>
      </c>
      <c r="S145" s="41">
        <f t="shared" si="4"/>
        <v>-1.562101355248845E-2</v>
      </c>
      <c r="T145" s="41">
        <f t="shared" si="4"/>
        <v>-6.1982262604143631E-3</v>
      </c>
    </row>
    <row r="146" spans="16:20" ht="15" customHeight="1">
      <c r="P146" s="53">
        <v>45589</v>
      </c>
      <c r="Q146" s="41">
        <v>22570.80078125</v>
      </c>
      <c r="R146" s="41">
        <v>3266.93603515625</v>
      </c>
      <c r="S146" s="41">
        <f t="shared" si="4"/>
        <v>4.4145131454555618E-3</v>
      </c>
      <c r="T146" s="41">
        <f t="shared" si="4"/>
        <v>7.0805185380509066E-4</v>
      </c>
    </row>
    <row r="147" spans="16:20" ht="15" customHeight="1">
      <c r="P147" s="53">
        <v>45590</v>
      </c>
      <c r="Q147" s="41">
        <v>22574.55078125</v>
      </c>
      <c r="R147" s="41">
        <v>3376.66015625</v>
      </c>
      <c r="S147" s="41">
        <f t="shared" si="4"/>
        <v>1.6614386154678205E-4</v>
      </c>
      <c r="T147" s="41">
        <f t="shared" si="4"/>
        <v>3.358624714808723E-2</v>
      </c>
    </row>
    <row r="148" spans="16:20" ht="15" customHeight="1">
      <c r="P148" s="53">
        <v>45593</v>
      </c>
      <c r="Q148" s="41">
        <v>22857.25</v>
      </c>
      <c r="R148" s="41">
        <v>3262.4111328125</v>
      </c>
      <c r="S148" s="41">
        <f t="shared" si="4"/>
        <v>1.2522916690098865E-2</v>
      </c>
      <c r="T148" s="41">
        <f t="shared" si="4"/>
        <v>-3.383491916591954E-2</v>
      </c>
    </row>
    <row r="149" spans="16:20" ht="15" customHeight="1">
      <c r="P149" s="53">
        <v>45594</v>
      </c>
      <c r="Q149" s="41">
        <v>22601.400390625</v>
      </c>
      <c r="R149" s="41">
        <v>3163.01538085937</v>
      </c>
      <c r="S149" s="41">
        <f t="shared" si="4"/>
        <v>-1.1193367941244025E-2</v>
      </c>
      <c r="T149" s="41">
        <f t="shared" si="4"/>
        <v>-3.0466960755936877E-2</v>
      </c>
    </row>
    <row r="150" spans="16:20" ht="15" customHeight="1">
      <c r="P150" s="53">
        <v>45595</v>
      </c>
      <c r="Q150" s="41">
        <v>22374.94921875</v>
      </c>
      <c r="R150" s="41">
        <v>3086.43969726562</v>
      </c>
      <c r="S150" s="41">
        <f t="shared" si="4"/>
        <v>-1.0019342516888083E-2</v>
      </c>
      <c r="T150" s="41">
        <f t="shared" si="4"/>
        <v>-2.4209709525011825E-2</v>
      </c>
    </row>
    <row r="151" spans="16:20" ht="15" customHeight="1">
      <c r="P151" s="53">
        <v>45596</v>
      </c>
      <c r="Q151" s="41">
        <v>22735.55078125</v>
      </c>
      <c r="R151" s="41">
        <v>3150.22802734375</v>
      </c>
      <c r="S151" s="41">
        <f t="shared" si="4"/>
        <v>1.6116307526535936E-2</v>
      </c>
      <c r="T151" s="41">
        <f t="shared" si="4"/>
        <v>2.0667285395092026E-2</v>
      </c>
    </row>
    <row r="152" spans="16:20" ht="15" customHeight="1">
      <c r="P152" s="53">
        <v>45597</v>
      </c>
      <c r="Q152" s="41">
        <v>22807.150390625</v>
      </c>
      <c r="R152" s="41">
        <v>3152.83471679687</v>
      </c>
      <c r="S152" s="41">
        <f t="shared" si="4"/>
        <v>3.1492357525839299E-3</v>
      </c>
      <c r="T152" s="41">
        <f t="shared" si="4"/>
        <v>8.2746056174160193E-4</v>
      </c>
    </row>
    <row r="153" spans="16:20" ht="15" customHeight="1">
      <c r="P153" s="53">
        <v>45600</v>
      </c>
      <c r="Q153" s="41">
        <v>22638.30078125</v>
      </c>
      <c r="R153" s="41">
        <v>3148.16259765625</v>
      </c>
      <c r="S153" s="41">
        <f t="shared" si="4"/>
        <v>-7.4033628262655084E-3</v>
      </c>
      <c r="T153" s="41">
        <f t="shared" si="4"/>
        <v>-1.4818788678420316E-3</v>
      </c>
    </row>
    <row r="154" spans="16:20" ht="15" customHeight="1">
      <c r="P154" s="53">
        <v>45601</v>
      </c>
      <c r="Q154" s="41">
        <v>22661.25</v>
      </c>
      <c r="R154" s="41">
        <v>3132.03100585937</v>
      </c>
      <c r="S154" s="41">
        <f t="shared" si="4"/>
        <v>1.0137341566292606E-3</v>
      </c>
      <c r="T154" s="41">
        <f t="shared" si="4"/>
        <v>-5.1241291694684643E-3</v>
      </c>
    </row>
    <row r="155" spans="16:20" ht="15" customHeight="1">
      <c r="P155" s="53">
        <v>45602</v>
      </c>
      <c r="Q155" s="41">
        <v>22920.349609375</v>
      </c>
      <c r="R155" s="41">
        <v>3157.35961914062</v>
      </c>
      <c r="S155" s="41">
        <f t="shared" si="4"/>
        <v>1.1433597412984721E-2</v>
      </c>
      <c r="T155" s="41">
        <f t="shared" si="4"/>
        <v>8.0869612190509928E-3</v>
      </c>
    </row>
    <row r="156" spans="16:20" ht="15" customHeight="1">
      <c r="P156" s="53">
        <v>45603</v>
      </c>
      <c r="Q156" s="41">
        <v>22526.94921875</v>
      </c>
      <c r="R156" s="41">
        <v>3111.17797851562</v>
      </c>
      <c r="S156" s="41">
        <f t="shared" si="4"/>
        <v>-1.716380410114204E-2</v>
      </c>
      <c r="T156" s="41">
        <f t="shared" si="4"/>
        <v>-1.4626664743869077E-2</v>
      </c>
    </row>
    <row r="157" spans="16:20" ht="15" customHeight="1">
      <c r="P157" s="53">
        <v>45604</v>
      </c>
      <c r="Q157" s="41">
        <v>22542.25</v>
      </c>
      <c r="R157" s="41">
        <v>3147.47412109375</v>
      </c>
      <c r="S157" s="41">
        <f t="shared" si="4"/>
        <v>6.7922118975900217E-4</v>
      </c>
      <c r="T157" s="41">
        <f t="shared" si="4"/>
        <v>1.1666366510940438E-2</v>
      </c>
    </row>
    <row r="158" spans="16:20" ht="15" customHeight="1">
      <c r="P158" s="53">
        <v>45607</v>
      </c>
      <c r="Q158" s="41">
        <v>22344.25</v>
      </c>
      <c r="R158" s="41">
        <v>3100.06274414062</v>
      </c>
      <c r="S158" s="41">
        <f t="shared" si="4"/>
        <v>-8.783506526633322E-3</v>
      </c>
      <c r="T158" s="41">
        <f t="shared" si="4"/>
        <v>-1.50633095393504E-2</v>
      </c>
    </row>
    <row r="159" spans="16:20" ht="15" customHeight="1">
      <c r="P159" s="53">
        <v>45608</v>
      </c>
      <c r="Q159" s="41">
        <v>22151.599609375</v>
      </c>
      <c r="R159" s="41">
        <v>3099.47265625</v>
      </c>
      <c r="S159" s="41">
        <f t="shared" si="4"/>
        <v>-8.6219224464907079E-3</v>
      </c>
      <c r="T159" s="41">
        <f t="shared" si="4"/>
        <v>-1.9034707982453375E-4</v>
      </c>
    </row>
    <row r="160" spans="16:20" ht="15" customHeight="1">
      <c r="P160" s="53">
        <v>45609</v>
      </c>
      <c r="Q160" s="41">
        <v>21809.30078125</v>
      </c>
      <c r="R160" s="41">
        <v>3065.58666992187</v>
      </c>
      <c r="S160" s="41">
        <f t="shared" si="4"/>
        <v>-1.5452555759455507E-2</v>
      </c>
      <c r="T160" s="41">
        <f t="shared" si="4"/>
        <v>-1.0932823123894918E-2</v>
      </c>
    </row>
    <row r="161" spans="16:20" ht="15" customHeight="1">
      <c r="P161" s="53">
        <v>45610</v>
      </c>
      <c r="Q161" s="41">
        <v>21752</v>
      </c>
      <c r="R161" s="41">
        <v>3051.61889648437</v>
      </c>
      <c r="S161" s="41">
        <f t="shared" si="4"/>
        <v>-2.627355265752624E-3</v>
      </c>
      <c r="T161" s="41">
        <f t="shared" si="4"/>
        <v>-4.5563133394809496E-3</v>
      </c>
    </row>
    <row r="162" spans="16:20" ht="15" customHeight="1">
      <c r="P162" s="53">
        <v>45614</v>
      </c>
      <c r="Q162" s="41">
        <v>21544.150390625</v>
      </c>
      <c r="R162" s="41">
        <v>3054.76684570312</v>
      </c>
      <c r="S162" s="41">
        <f t="shared" si="4"/>
        <v>-9.5554252195200438E-3</v>
      </c>
      <c r="T162" s="41">
        <f t="shared" si="4"/>
        <v>1.0315669569278812E-3</v>
      </c>
    </row>
    <row r="163" spans="16:20" ht="15" customHeight="1">
      <c r="P163" s="53">
        <v>45615</v>
      </c>
      <c r="Q163" s="41">
        <v>21768.849609375</v>
      </c>
      <c r="R163" s="41">
        <v>3044.19262695312</v>
      </c>
      <c r="S163" s="41">
        <f t="shared" si="4"/>
        <v>1.0429708977884712E-2</v>
      </c>
      <c r="T163" s="41">
        <f t="shared" si="4"/>
        <v>-3.4615469147420701E-3</v>
      </c>
    </row>
    <row r="164" spans="16:20" ht="15" customHeight="1">
      <c r="P164" s="53">
        <v>45617</v>
      </c>
      <c r="Q164" s="41">
        <v>21740.099609375</v>
      </c>
      <c r="R164" s="41">
        <v>3051.17651367187</v>
      </c>
      <c r="S164" s="41">
        <f t="shared" si="4"/>
        <v>-1.3206945022771661E-3</v>
      </c>
      <c r="T164" s="41">
        <f t="shared" si="4"/>
        <v>2.294167148594684E-3</v>
      </c>
    </row>
    <row r="165" spans="16:20" ht="15" customHeight="1">
      <c r="P165" s="53">
        <v>45618</v>
      </c>
      <c r="Q165" s="41">
        <v>21962.05078125</v>
      </c>
      <c r="R165" s="41">
        <v>3115.26000976562</v>
      </c>
      <c r="S165" s="41">
        <f t="shared" si="4"/>
        <v>1.0209298754973865E-2</v>
      </c>
      <c r="T165" s="41">
        <f t="shared" si="4"/>
        <v>2.1002880628702189E-2</v>
      </c>
    </row>
    <row r="166" spans="16:20" ht="15" customHeight="1">
      <c r="P166" s="53">
        <v>45621</v>
      </c>
      <c r="Q166" s="41">
        <v>22177.05078125</v>
      </c>
      <c r="R166" s="41">
        <v>3213.13134765625</v>
      </c>
      <c r="S166" s="41">
        <f t="shared" si="4"/>
        <v>9.7896140092506873E-3</v>
      </c>
      <c r="T166" s="41">
        <f t="shared" si="4"/>
        <v>3.1416747746199666E-2</v>
      </c>
    </row>
    <row r="167" spans="16:20" ht="15" customHeight="1">
      <c r="P167" s="53">
        <v>45622</v>
      </c>
      <c r="Q167" s="41">
        <v>21961.75</v>
      </c>
      <c r="R167" s="41">
        <v>3172.75317382812</v>
      </c>
      <c r="S167" s="41">
        <f t="shared" si="4"/>
        <v>-9.7082692993619348E-3</v>
      </c>
      <c r="T167" s="41">
        <f t="shared" si="4"/>
        <v>-1.2566611650526829E-2</v>
      </c>
    </row>
    <row r="168" spans="16:20" ht="15" customHeight="1">
      <c r="P168" s="53">
        <v>45623</v>
      </c>
      <c r="Q168" s="41">
        <v>21828.599609375</v>
      </c>
      <c r="R168" s="41">
        <v>3171.67138671875</v>
      </c>
      <c r="S168" s="41">
        <f t="shared" si="4"/>
        <v>-6.0628315423406605E-3</v>
      </c>
      <c r="T168" s="41">
        <f t="shared" si="4"/>
        <v>-3.4096163492754644E-4</v>
      </c>
    </row>
    <row r="169" spans="16:20" ht="15" customHeight="1">
      <c r="P169" s="53">
        <v>45624</v>
      </c>
      <c r="Q169" s="41">
        <v>21728.599609375</v>
      </c>
      <c r="R169" s="41">
        <v>3150.5234375</v>
      </c>
      <c r="S169" s="41">
        <f t="shared" si="4"/>
        <v>-4.5811459181766181E-3</v>
      </c>
      <c r="T169" s="41">
        <f t="shared" si="4"/>
        <v>-6.6677617698057282E-3</v>
      </c>
    </row>
    <row r="170" spans="16:20" ht="15" customHeight="1">
      <c r="P170" s="53">
        <v>45625</v>
      </c>
      <c r="Q170" s="41">
        <v>22240.19921875</v>
      </c>
      <c r="R170" s="41">
        <v>3269.78857421875</v>
      </c>
      <c r="S170" s="41">
        <f t="shared" si="4"/>
        <v>2.3544987646339884E-2</v>
      </c>
      <c r="T170" s="41">
        <f t="shared" si="4"/>
        <v>3.7855657666012843E-2</v>
      </c>
    </row>
    <row r="171" spans="16:20" ht="15" customHeight="1">
      <c r="P171" s="53">
        <v>45628</v>
      </c>
      <c r="Q171" s="41">
        <v>22450.19921875</v>
      </c>
      <c r="R171" s="41">
        <v>3284.49389648437</v>
      </c>
      <c r="S171" s="41">
        <f t="shared" si="4"/>
        <v>9.4423614615356376E-3</v>
      </c>
      <c r="T171" s="41">
        <f t="shared" si="4"/>
        <v>4.4973312285591857E-3</v>
      </c>
    </row>
    <row r="172" spans="16:20" ht="15" customHeight="1">
      <c r="P172" s="53">
        <v>45629</v>
      </c>
      <c r="Q172" s="41">
        <v>22445.69921875</v>
      </c>
      <c r="R172" s="41">
        <v>3308.05200195312</v>
      </c>
      <c r="S172" s="41">
        <f t="shared" si="4"/>
        <v>-2.0044365558420887E-4</v>
      </c>
      <c r="T172" s="41">
        <f t="shared" si="4"/>
        <v>7.1725222244942927E-3</v>
      </c>
    </row>
    <row r="173" spans="16:20" ht="15" customHeight="1">
      <c r="P173" s="53">
        <v>45630</v>
      </c>
      <c r="Q173" s="41">
        <v>22422.900390625</v>
      </c>
      <c r="R173" s="41">
        <v>3297.77270507812</v>
      </c>
      <c r="S173" s="41">
        <f t="shared" si="4"/>
        <v>-1.0157325865774328E-3</v>
      </c>
      <c r="T173" s="41">
        <f t="shared" si="4"/>
        <v>-3.1073564952821056E-3</v>
      </c>
    </row>
    <row r="174" spans="16:20" ht="15" customHeight="1">
      <c r="P174" s="53">
        <v>45631</v>
      </c>
      <c r="Q174" s="41">
        <v>22463.400390625</v>
      </c>
      <c r="R174" s="41">
        <v>3306.47802734375</v>
      </c>
      <c r="S174" s="41">
        <f t="shared" si="4"/>
        <v>1.8061891768886877E-3</v>
      </c>
      <c r="T174" s="41">
        <f t="shared" si="4"/>
        <v>2.6397581168116874E-3</v>
      </c>
    </row>
    <row r="175" spans="16:20" ht="15" customHeight="1">
      <c r="P175" s="53">
        <v>45632</v>
      </c>
      <c r="Q175" s="41">
        <v>22434.75</v>
      </c>
      <c r="R175" s="41">
        <v>3277.95263671875</v>
      </c>
      <c r="S175" s="41">
        <f t="shared" si="4"/>
        <v>-1.2754253642274531E-3</v>
      </c>
      <c r="T175" s="41">
        <f t="shared" si="4"/>
        <v>-8.627122390985854E-3</v>
      </c>
    </row>
    <row r="176" spans="16:20" ht="15" customHeight="1">
      <c r="P176" s="53">
        <v>45635</v>
      </c>
      <c r="Q176" s="41">
        <v>22309.099609375</v>
      </c>
      <c r="R176" s="41">
        <v>3281.10034179687</v>
      </c>
      <c r="S176" s="41">
        <f t="shared" si="4"/>
        <v>-5.6007038467110176E-3</v>
      </c>
      <c r="T176" s="41">
        <f t="shared" si="4"/>
        <v>9.602655764028577E-4</v>
      </c>
    </row>
    <row r="177" spans="16:20" ht="15" customHeight="1">
      <c r="P177" s="53">
        <v>45636</v>
      </c>
      <c r="Q177" s="41">
        <v>22291.44921875</v>
      </c>
      <c r="R177" s="41">
        <v>3295.166015625</v>
      </c>
      <c r="S177" s="41">
        <f t="shared" si="4"/>
        <v>-7.9117449534282141E-4</v>
      </c>
      <c r="T177" s="41">
        <f t="shared" si="4"/>
        <v>4.2868770725942021E-3</v>
      </c>
    </row>
    <row r="178" spans="16:20" ht="15" customHeight="1">
      <c r="P178" s="53">
        <v>45637</v>
      </c>
      <c r="Q178" s="41">
        <v>22302.599609375</v>
      </c>
      <c r="R178" s="41">
        <v>3319.60961914062</v>
      </c>
      <c r="S178" s="41">
        <f t="shared" si="4"/>
        <v>5.0020931863061977E-4</v>
      </c>
      <c r="T178" s="41">
        <f t="shared" si="4"/>
        <v>7.4180188189952962E-3</v>
      </c>
    </row>
    <row r="179" spans="16:20" ht="15" customHeight="1">
      <c r="P179" s="53">
        <v>45638</v>
      </c>
      <c r="Q179" s="41">
        <v>22229.30078125</v>
      </c>
      <c r="R179" s="41">
        <v>3273.37866210937</v>
      </c>
      <c r="S179" s="41">
        <f t="shared" si="4"/>
        <v>-3.2865598364680546E-3</v>
      </c>
      <c r="T179" s="41">
        <f t="shared" si="4"/>
        <v>-1.3926624614137087E-2</v>
      </c>
    </row>
    <row r="180" spans="16:20" ht="15" customHeight="1">
      <c r="P180" s="53">
        <v>45639</v>
      </c>
      <c r="Q180" s="41">
        <v>22157.349609375</v>
      </c>
      <c r="R180" s="41">
        <v>3291.08447265625</v>
      </c>
      <c r="S180" s="41">
        <f t="shared" si="4"/>
        <v>-3.2367717087929942E-3</v>
      </c>
      <c r="T180" s="41">
        <f t="shared" si="4"/>
        <v>5.4090321880055124E-3</v>
      </c>
    </row>
    <row r="181" spans="16:20" ht="15" customHeight="1">
      <c r="P181" s="53">
        <v>45642</v>
      </c>
      <c r="Q181" s="41">
        <v>22255.55078125</v>
      </c>
      <c r="R181" s="41">
        <v>3307.01904296875</v>
      </c>
      <c r="S181" s="41">
        <f t="shared" si="4"/>
        <v>4.4319909017209386E-3</v>
      </c>
      <c r="T181" s="41">
        <f t="shared" si="4"/>
        <v>4.8417384740170868E-3</v>
      </c>
    </row>
    <row r="182" spans="16:20" ht="15" customHeight="1">
      <c r="P182" s="53">
        <v>45643</v>
      </c>
      <c r="Q182" s="41">
        <v>22074.55078125</v>
      </c>
      <c r="R182" s="41">
        <v>3321.42919921875</v>
      </c>
      <c r="S182" s="41">
        <f t="shared" si="4"/>
        <v>-8.1328025434665961E-3</v>
      </c>
      <c r="T182" s="41">
        <f t="shared" si="4"/>
        <v>4.3574458032342722E-3</v>
      </c>
    </row>
    <row r="183" spans="16:20" ht="15" customHeight="1">
      <c r="P183" s="53">
        <v>45644</v>
      </c>
      <c r="Q183" s="41">
        <v>22314.55078125</v>
      </c>
      <c r="R183" s="41">
        <v>3326.54418945312</v>
      </c>
      <c r="S183" s="41">
        <f t="shared" si="4"/>
        <v>1.0872248426629576E-2</v>
      </c>
      <c r="T183" s="41">
        <f t="shared" si="4"/>
        <v>1.5399967687323036E-3</v>
      </c>
    </row>
    <row r="184" spans="16:20" ht="15" customHeight="1">
      <c r="P184" s="53">
        <v>45645</v>
      </c>
      <c r="Q184" s="41">
        <v>22697.900390625</v>
      </c>
      <c r="R184" s="41">
        <v>3412.36596679687</v>
      </c>
      <c r="S184" s="41">
        <f t="shared" si="4"/>
        <v>1.7179355889033309E-2</v>
      </c>
      <c r="T184" s="41">
        <f t="shared" si="4"/>
        <v>2.5799079301531538E-2</v>
      </c>
    </row>
    <row r="185" spans="16:20" ht="15" customHeight="1">
      <c r="P185" s="53">
        <v>45646</v>
      </c>
      <c r="Q185" s="41">
        <v>22501.849609375</v>
      </c>
      <c r="R185" s="41">
        <v>3380.74243164062</v>
      </c>
      <c r="S185" s="41">
        <f t="shared" si="4"/>
        <v>-8.6373971986843153E-3</v>
      </c>
      <c r="T185" s="41">
        <f t="shared" si="4"/>
        <v>-9.2673340034317812E-3</v>
      </c>
    </row>
    <row r="186" spans="16:20" ht="15" customHeight="1">
      <c r="P186" s="53">
        <v>45649</v>
      </c>
      <c r="Q186" s="41">
        <v>22572.05078125</v>
      </c>
      <c r="R186" s="41">
        <v>3364.36499023437</v>
      </c>
      <c r="S186" s="41">
        <f t="shared" si="4"/>
        <v>3.1197956209676166E-3</v>
      </c>
      <c r="T186" s="41">
        <f t="shared" si="4"/>
        <v>-4.8443327870743144E-3</v>
      </c>
    </row>
    <row r="187" spans="16:20" ht="15" customHeight="1">
      <c r="P187" s="53">
        <v>45650</v>
      </c>
      <c r="Q187" s="41">
        <v>22558.900390625</v>
      </c>
      <c r="R187" s="41">
        <v>3343.806640625</v>
      </c>
      <c r="S187" s="41">
        <f t="shared" si="4"/>
        <v>-5.8259618288311133E-4</v>
      </c>
      <c r="T187" s="41">
        <f t="shared" si="4"/>
        <v>-6.1106181014973209E-3</v>
      </c>
    </row>
    <row r="188" spans="16:20" ht="15" customHeight="1">
      <c r="P188" s="53">
        <v>45652</v>
      </c>
      <c r="Q188" s="41">
        <v>22712.55078125</v>
      </c>
      <c r="R188" s="41">
        <v>3365.34838867187</v>
      </c>
      <c r="S188" s="41">
        <f t="shared" si="4"/>
        <v>6.8110762477081484E-3</v>
      </c>
      <c r="T188" s="41">
        <f t="shared" si="4"/>
        <v>6.4422828117966686E-3</v>
      </c>
    </row>
    <row r="189" spans="16:20" ht="15" customHeight="1">
      <c r="P189" s="53">
        <v>45653</v>
      </c>
      <c r="Q189" s="41">
        <v>23008.349609375</v>
      </c>
      <c r="R189" s="41">
        <v>3349.3642578125</v>
      </c>
      <c r="S189" s="41">
        <f t="shared" si="4"/>
        <v>1.3023584667962183E-2</v>
      </c>
      <c r="T189" s="41">
        <f t="shared" si="4"/>
        <v>-4.749621439840917E-3</v>
      </c>
    </row>
    <row r="190" spans="16:20" ht="15" customHeight="1">
      <c r="P190" s="53">
        <v>45656</v>
      </c>
      <c r="Q190" s="41">
        <v>23241.150390625</v>
      </c>
      <c r="R190" s="41">
        <v>3314.34716796875</v>
      </c>
      <c r="S190" s="41">
        <f t="shared" si="4"/>
        <v>1.0118099959466142E-2</v>
      </c>
      <c r="T190" s="41">
        <f t="shared" si="4"/>
        <v>-1.0454846695778612E-2</v>
      </c>
    </row>
    <row r="191" spans="16:20" ht="15" customHeight="1">
      <c r="P191" s="53">
        <v>45657</v>
      </c>
      <c r="Q191" s="41">
        <v>23412.25</v>
      </c>
      <c r="R191" s="41">
        <v>3305.0517578125</v>
      </c>
      <c r="S191" s="41">
        <f t="shared" si="4"/>
        <v>7.3619251413655513E-3</v>
      </c>
      <c r="T191" s="41">
        <f t="shared" si="4"/>
        <v>-2.8045976130939955E-3</v>
      </c>
    </row>
    <row r="192" spans="16:20" ht="15" customHeight="1">
      <c r="P192" s="53">
        <v>45658</v>
      </c>
      <c r="Q192" s="41">
        <v>23459.75</v>
      </c>
      <c r="R192" s="41">
        <v>3362.59448242187</v>
      </c>
      <c r="S192" s="41">
        <f t="shared" si="4"/>
        <v>2.0288524170039191E-3</v>
      </c>
      <c r="T192" s="41">
        <f t="shared" si="4"/>
        <v>1.7410536604563053E-2</v>
      </c>
    </row>
    <row r="193" spans="16:20" ht="15" customHeight="1">
      <c r="P193" s="53">
        <v>45659</v>
      </c>
      <c r="Q193" s="41">
        <v>23553.400390625</v>
      </c>
      <c r="R193" s="41">
        <v>3385.2177734375</v>
      </c>
      <c r="S193" s="41">
        <f t="shared" si="4"/>
        <v>3.9919602990227945E-3</v>
      </c>
      <c r="T193" s="41">
        <f t="shared" si="4"/>
        <v>6.7279272400803548E-3</v>
      </c>
    </row>
    <row r="194" spans="16:20" ht="15" customHeight="1">
      <c r="P194" s="53">
        <v>45660</v>
      </c>
      <c r="Q194" s="41">
        <v>23263.5</v>
      </c>
      <c r="R194" s="41">
        <v>3347.1513671875</v>
      </c>
      <c r="S194" s="41">
        <f t="shared" si="4"/>
        <v>-1.2308218168803751E-2</v>
      </c>
      <c r="T194" s="41">
        <f t="shared" si="4"/>
        <v>-1.1244891406600907E-2</v>
      </c>
    </row>
    <row r="195" spans="16:20" ht="15" customHeight="1">
      <c r="P195" s="53">
        <v>45663</v>
      </c>
      <c r="Q195" s="41">
        <v>23073.05078125</v>
      </c>
      <c r="R195" s="41">
        <v>3307.90405273437</v>
      </c>
      <c r="S195" s="41">
        <f t="shared" si="4"/>
        <v>-8.1866107314032717E-3</v>
      </c>
      <c r="T195" s="41">
        <f t="shared" si="4"/>
        <v>-1.1725586968631244E-2</v>
      </c>
    </row>
    <row r="196" spans="16:20" ht="15" customHeight="1">
      <c r="P196" s="53">
        <v>45664</v>
      </c>
      <c r="Q196" s="41">
        <v>23228.55078125</v>
      </c>
      <c r="R196" s="41">
        <v>3348.380859375</v>
      </c>
      <c r="S196" s="41">
        <f t="shared" si="4"/>
        <v>6.739464211917956E-3</v>
      </c>
      <c r="T196" s="41">
        <f t="shared" si="4"/>
        <v>1.2236390776561728E-2</v>
      </c>
    </row>
    <row r="197" spans="16:20" ht="15" customHeight="1">
      <c r="P197" s="53">
        <v>45665</v>
      </c>
      <c r="Q197" s="41">
        <v>23011.099609375</v>
      </c>
      <c r="R197" s="41">
        <v>3270.32983398437</v>
      </c>
      <c r="S197" s="41">
        <f t="shared" si="4"/>
        <v>-9.3613748839865545E-3</v>
      </c>
      <c r="T197" s="41">
        <f t="shared" si="4"/>
        <v>-2.331007990685946E-2</v>
      </c>
    </row>
    <row r="198" spans="16:20" ht="15" customHeight="1">
      <c r="P198" s="53">
        <v>45666</v>
      </c>
      <c r="Q198" s="41">
        <v>22868.099609375</v>
      </c>
      <c r="R198" s="41">
        <v>3267.18188476562</v>
      </c>
      <c r="S198" s="41">
        <f t="shared" si="4"/>
        <v>-6.2143922901337608E-3</v>
      </c>
      <c r="T198" s="41">
        <f t="shared" si="4"/>
        <v>-9.6257850998311418E-4</v>
      </c>
    </row>
    <row r="199" spans="16:20" ht="15" customHeight="1">
      <c r="P199" s="53">
        <v>45667</v>
      </c>
      <c r="Q199" s="41">
        <v>22380.849609375</v>
      </c>
      <c r="R199" s="41">
        <v>3220.85278320312</v>
      </c>
      <c r="S199" s="41">
        <f t="shared" si="4"/>
        <v>-2.1306973833551394E-2</v>
      </c>
      <c r="T199" s="41">
        <f t="shared" si="4"/>
        <v>-1.4180141539877429E-2</v>
      </c>
    </row>
    <row r="200" spans="16:20" ht="15" customHeight="1">
      <c r="P200" s="53">
        <v>45670</v>
      </c>
      <c r="Q200" s="41">
        <v>21903.349609375</v>
      </c>
      <c r="R200" s="41">
        <v>3182.39306640625</v>
      </c>
      <c r="S200" s="41">
        <f t="shared" ref="S200:T252" si="5">(Q200-Q199)/Q199</f>
        <v>-2.1335204352563204E-2</v>
      </c>
      <c r="T200" s="41">
        <f t="shared" si="5"/>
        <v>-1.1940849019066939E-2</v>
      </c>
    </row>
    <row r="201" spans="16:20" ht="15" customHeight="1">
      <c r="P201" s="53">
        <v>45671</v>
      </c>
      <c r="Q201" s="41">
        <v>22203.900390625</v>
      </c>
      <c r="R201" s="41">
        <v>3199.1640625</v>
      </c>
      <c r="S201" s="41">
        <f t="shared" si="5"/>
        <v>1.3721681231867807E-2</v>
      </c>
      <c r="T201" s="41">
        <f t="shared" si="5"/>
        <v>5.2699323257038196E-3</v>
      </c>
    </row>
    <row r="202" spans="16:20" ht="15" customHeight="1">
      <c r="P202" s="53">
        <v>45672</v>
      </c>
      <c r="Q202" s="41">
        <v>21972.69921875</v>
      </c>
      <c r="R202" s="41">
        <v>3162.42529296875</v>
      </c>
      <c r="S202" s="41">
        <f t="shared" si="5"/>
        <v>-1.0412637771182691E-2</v>
      </c>
      <c r="T202" s="41">
        <f t="shared" si="5"/>
        <v>-1.1483865414060802E-2</v>
      </c>
    </row>
    <row r="203" spans="16:20" ht="15" customHeight="1">
      <c r="P203" s="53">
        <v>45673</v>
      </c>
      <c r="Q203" s="41">
        <v>21909.75</v>
      </c>
      <c r="R203" s="41">
        <v>3126.57177734375</v>
      </c>
      <c r="S203" s="41">
        <f t="shared" si="5"/>
        <v>-2.8648832864504622E-3</v>
      </c>
      <c r="T203" s="41">
        <f t="shared" si="5"/>
        <v>-1.133734785916231E-2</v>
      </c>
    </row>
    <row r="204" spans="16:20" ht="15" customHeight="1">
      <c r="P204" s="53">
        <v>45674</v>
      </c>
      <c r="Q204" s="41">
        <v>22061.69921875</v>
      </c>
      <c r="R204" s="41">
        <v>3122.88330078125</v>
      </c>
      <c r="S204" s="41">
        <f t="shared" si="5"/>
        <v>6.9352328871849292E-3</v>
      </c>
      <c r="T204" s="41">
        <f t="shared" si="5"/>
        <v>-1.1797191381397389E-3</v>
      </c>
    </row>
    <row r="205" spans="16:20" ht="15" customHeight="1">
      <c r="P205" s="53">
        <v>45677</v>
      </c>
      <c r="Q205" s="41">
        <v>22182.400390625</v>
      </c>
      <c r="R205" s="41">
        <v>3112.45678710937</v>
      </c>
      <c r="S205" s="41">
        <f t="shared" si="5"/>
        <v>5.4710732241520805E-3</v>
      </c>
      <c r="T205" s="41">
        <f t="shared" si="5"/>
        <v>-3.338745853638401E-3</v>
      </c>
    </row>
    <row r="206" spans="16:20" ht="15" customHeight="1">
      <c r="P206" s="53">
        <v>45678</v>
      </c>
      <c r="Q206" s="41">
        <v>21882.900390625</v>
      </c>
      <c r="R206" s="41">
        <v>3104.63671875</v>
      </c>
      <c r="S206" s="41">
        <f t="shared" si="5"/>
        <v>-1.3501694799746666E-2</v>
      </c>
      <c r="T206" s="41">
        <f t="shared" si="5"/>
        <v>-2.5125066448336863E-3</v>
      </c>
    </row>
    <row r="207" spans="16:20" ht="15" customHeight="1">
      <c r="P207" s="53">
        <v>45679</v>
      </c>
      <c r="Q207" s="41">
        <v>22034.94921875</v>
      </c>
      <c r="R207" s="41">
        <v>3115.06323242187</v>
      </c>
      <c r="S207" s="41">
        <f t="shared" si="5"/>
        <v>6.9482941205609222E-3</v>
      </c>
      <c r="T207" s="41">
        <f t="shared" si="5"/>
        <v>3.3583683427115935E-3</v>
      </c>
    </row>
    <row r="208" spans="16:20" ht="15" customHeight="1">
      <c r="P208" s="53">
        <v>45680</v>
      </c>
      <c r="Q208" s="41">
        <v>22343.30078125</v>
      </c>
      <c r="R208" s="41">
        <v>3210.32788085937</v>
      </c>
      <c r="S208" s="41">
        <f t="shared" si="5"/>
        <v>1.3993749631045993E-2</v>
      </c>
      <c r="T208" s="41">
        <f t="shared" si="5"/>
        <v>3.0581930872534659E-2</v>
      </c>
    </row>
    <row r="209" spans="16:20" ht="15" customHeight="1">
      <c r="P209" s="53">
        <v>45681</v>
      </c>
      <c r="Q209" s="41">
        <v>21872.400390625</v>
      </c>
      <c r="R209" s="41">
        <v>3195.22924804687</v>
      </c>
      <c r="S209" s="41">
        <f t="shared" si="5"/>
        <v>-2.1075685962217771E-2</v>
      </c>
      <c r="T209" s="41">
        <f t="shared" si="5"/>
        <v>-4.7031435332574997E-3</v>
      </c>
    </row>
    <row r="210" spans="16:20" ht="15" customHeight="1">
      <c r="P210" s="53">
        <v>45684</v>
      </c>
      <c r="Q210" s="41">
        <v>21292.30078125</v>
      </c>
      <c r="R210" s="41">
        <v>3283.11694335937</v>
      </c>
      <c r="S210" s="41">
        <f t="shared" si="5"/>
        <v>-2.6521991140197106E-2</v>
      </c>
      <c r="T210" s="41">
        <f t="shared" si="5"/>
        <v>2.7505912249089052E-2</v>
      </c>
    </row>
    <row r="211" spans="16:20" ht="15" customHeight="1">
      <c r="P211" s="53">
        <v>45685</v>
      </c>
      <c r="Q211" s="41">
        <v>20796.599609375</v>
      </c>
      <c r="R211" s="41">
        <v>3260.54248046875</v>
      </c>
      <c r="S211" s="41">
        <f t="shared" si="5"/>
        <v>-2.3280770686440539E-2</v>
      </c>
      <c r="T211" s="41">
        <f t="shared" si="5"/>
        <v>-6.875924092889979E-3</v>
      </c>
    </row>
    <row r="212" spans="16:20" ht="15" customHeight="1">
      <c r="P212" s="53">
        <v>45686</v>
      </c>
      <c r="Q212" s="41">
        <v>21163.900390625</v>
      </c>
      <c r="R212" s="41">
        <v>3305.49438476562</v>
      </c>
      <c r="S212" s="41">
        <f t="shared" si="5"/>
        <v>1.7661578726765634E-2</v>
      </c>
      <c r="T212" s="41">
        <f t="shared" si="5"/>
        <v>1.3786633532959679E-2</v>
      </c>
    </row>
    <row r="213" spans="16:20" ht="15" customHeight="1">
      <c r="P213" s="53">
        <v>45687</v>
      </c>
      <c r="Q213" s="41">
        <v>21419.650390625</v>
      </c>
      <c r="R213" s="41">
        <v>3303.28100585937</v>
      </c>
      <c r="S213" s="41">
        <f t="shared" si="5"/>
        <v>1.2084256459328731E-2</v>
      </c>
      <c r="T213" s="41">
        <f t="shared" si="5"/>
        <v>-6.696060100573858E-4</v>
      </c>
    </row>
    <row r="214" spans="16:20" ht="15" customHeight="1">
      <c r="P214" s="53">
        <v>45688</v>
      </c>
      <c r="Q214" s="41">
        <v>21438.599609375</v>
      </c>
      <c r="R214" s="41">
        <v>3240.68041992187</v>
      </c>
      <c r="S214" s="41">
        <f t="shared" si="5"/>
        <v>8.8466517447426389E-4</v>
      </c>
      <c r="T214" s="41">
        <f t="shared" si="5"/>
        <v>-1.8951032572299749E-2</v>
      </c>
    </row>
    <row r="215" spans="16:20" ht="15" customHeight="1">
      <c r="P215" s="53">
        <v>45691</v>
      </c>
      <c r="Q215" s="41">
        <v>21361.599609375</v>
      </c>
      <c r="R215" s="41">
        <v>3141.3017578125</v>
      </c>
      <c r="S215" s="41">
        <f t="shared" si="5"/>
        <v>-3.5916525054336223E-3</v>
      </c>
      <c r="T215" s="41">
        <f t="shared" si="5"/>
        <v>-3.0665986531237761E-2</v>
      </c>
    </row>
    <row r="216" spans="16:20" ht="15" customHeight="1">
      <c r="P216" s="53">
        <v>45692</v>
      </c>
      <c r="Q216" s="41">
        <v>21733.94921875</v>
      </c>
      <c r="R216" s="41">
        <v>3076.07397460937</v>
      </c>
      <c r="S216" s="41">
        <f t="shared" si="5"/>
        <v>1.7430792458612804E-2</v>
      </c>
      <c r="T216" s="41">
        <f t="shared" si="5"/>
        <v>-2.0764570942892319E-2</v>
      </c>
    </row>
    <row r="217" spans="16:20" ht="15" customHeight="1">
      <c r="P217" s="53">
        <v>45693</v>
      </c>
      <c r="Q217" s="41">
        <v>21868.5</v>
      </c>
      <c r="R217" s="41">
        <v>3087.62231445312</v>
      </c>
      <c r="S217" s="41">
        <f t="shared" si="5"/>
        <v>6.1908114303461373E-3</v>
      </c>
      <c r="T217" s="41">
        <f t="shared" si="5"/>
        <v>3.7542464645105036E-3</v>
      </c>
    </row>
    <row r="218" spans="16:20" ht="15" customHeight="1">
      <c r="P218" s="53">
        <v>45694</v>
      </c>
      <c r="Q218" s="41">
        <v>22009.05078125</v>
      </c>
      <c r="R218" s="41">
        <v>3133.76782226562</v>
      </c>
      <c r="S218" s="41">
        <f t="shared" si="5"/>
        <v>6.427088334819489E-3</v>
      </c>
      <c r="T218" s="41">
        <f t="shared" si="5"/>
        <v>1.4945321387429244E-2</v>
      </c>
    </row>
    <row r="219" spans="16:20" ht="15" customHeight="1">
      <c r="P219" s="53">
        <v>45695</v>
      </c>
      <c r="Q219" s="41">
        <v>22077</v>
      </c>
      <c r="R219" s="41">
        <v>3230.271484375</v>
      </c>
      <c r="S219" s="41">
        <f t="shared" si="5"/>
        <v>3.0873307270428696E-3</v>
      </c>
      <c r="T219" s="41">
        <f t="shared" si="5"/>
        <v>3.0794770890081688E-2</v>
      </c>
    </row>
    <row r="220" spans="16:20" ht="15" customHeight="1">
      <c r="P220" s="53">
        <v>45698</v>
      </c>
      <c r="Q220" s="41">
        <v>21665.650390625</v>
      </c>
      <c r="R220" s="41">
        <v>3165.142578125</v>
      </c>
      <c r="S220" s="41">
        <f t="shared" si="5"/>
        <v>-1.8632495781809123E-2</v>
      </c>
      <c r="T220" s="41">
        <f t="shared" si="5"/>
        <v>-2.0162053426478883E-2</v>
      </c>
    </row>
    <row r="221" spans="16:20" ht="15" customHeight="1">
      <c r="P221" s="53">
        <v>45699</v>
      </c>
      <c r="Q221" s="41">
        <v>21249.5</v>
      </c>
      <c r="R221" s="41">
        <v>3079.49365234375</v>
      </c>
      <c r="S221" s="41">
        <f t="shared" si="5"/>
        <v>-1.9207842050524063E-2</v>
      </c>
      <c r="T221" s="41">
        <f t="shared" si="5"/>
        <v>-2.7060052957231268E-2</v>
      </c>
    </row>
    <row r="222" spans="16:20" ht="15" customHeight="1">
      <c r="P222" s="53">
        <v>45700</v>
      </c>
      <c r="Q222" s="41">
        <v>21142.05078125</v>
      </c>
      <c r="R222" s="41">
        <v>3033.298828125</v>
      </c>
      <c r="S222" s="41">
        <f t="shared" si="5"/>
        <v>-5.0565528012423821E-3</v>
      </c>
      <c r="T222" s="41">
        <f t="shared" si="5"/>
        <v>-1.5000785659548902E-2</v>
      </c>
    </row>
    <row r="223" spans="16:20" ht="15" customHeight="1">
      <c r="P223" s="53">
        <v>45701</v>
      </c>
      <c r="Q223" s="41">
        <v>21427.099609375</v>
      </c>
      <c r="R223" s="41">
        <v>3047.52392578125</v>
      </c>
      <c r="S223" s="41">
        <f t="shared" si="5"/>
        <v>1.3482553375465254E-2</v>
      </c>
      <c r="T223" s="41">
        <f t="shared" si="5"/>
        <v>4.6896459802620522E-3</v>
      </c>
    </row>
    <row r="224" spans="16:20" ht="15" customHeight="1">
      <c r="P224" s="53">
        <v>45702</v>
      </c>
      <c r="Q224" s="41">
        <v>20811.55078125</v>
      </c>
      <c r="R224" s="41">
        <v>2987.64916992187</v>
      </c>
      <c r="S224" s="41">
        <f t="shared" si="5"/>
        <v>-2.872758513035889E-2</v>
      </c>
      <c r="T224" s="41">
        <f t="shared" si="5"/>
        <v>-1.9647017486181268E-2</v>
      </c>
    </row>
    <row r="225" spans="16:20" ht="15" customHeight="1">
      <c r="P225" s="53">
        <v>45705</v>
      </c>
      <c r="Q225" s="41">
        <v>21076</v>
      </c>
      <c r="R225" s="41">
        <v>3051.24145507812</v>
      </c>
      <c r="S225" s="41">
        <f t="shared" si="5"/>
        <v>1.2706848304079935E-2</v>
      </c>
      <c r="T225" s="41">
        <f t="shared" si="5"/>
        <v>2.1285057762626462E-2</v>
      </c>
    </row>
    <row r="226" spans="16:20" ht="15" customHeight="1">
      <c r="P226" s="53">
        <v>45706</v>
      </c>
      <c r="Q226" s="41">
        <v>20969.19921875</v>
      </c>
      <c r="R226" s="41">
        <v>3015.35620117187</v>
      </c>
      <c r="S226" s="41">
        <f t="shared" si="5"/>
        <v>-5.0674122817422661E-3</v>
      </c>
      <c r="T226" s="41">
        <f t="shared" si="5"/>
        <v>-1.1760869939193732E-2</v>
      </c>
    </row>
    <row r="227" spans="16:20" ht="15" customHeight="1">
      <c r="P227" s="53">
        <v>45707</v>
      </c>
      <c r="Q227" s="41">
        <v>20820</v>
      </c>
      <c r="R227" s="41">
        <v>3093.42163085937</v>
      </c>
      <c r="S227" s="41">
        <f t="shared" si="5"/>
        <v>-7.1151605358678047E-3</v>
      </c>
      <c r="T227" s="41">
        <f t="shared" si="5"/>
        <v>2.5889289516495967E-2</v>
      </c>
    </row>
    <row r="228" spans="16:20" ht="15" customHeight="1">
      <c r="P228" s="53">
        <v>45708</v>
      </c>
      <c r="Q228" s="41">
        <v>20785.75</v>
      </c>
      <c r="R228" s="41">
        <v>3069.03540039062</v>
      </c>
      <c r="S228" s="41">
        <f t="shared" si="5"/>
        <v>-1.6450528338136407E-3</v>
      </c>
      <c r="T228" s="41">
        <f t="shared" si="5"/>
        <v>-7.8832546541595643E-3</v>
      </c>
    </row>
    <row r="229" spans="16:20" ht="15" customHeight="1">
      <c r="P229" s="53">
        <v>45709</v>
      </c>
      <c r="Q229" s="41">
        <v>20385.650390625</v>
      </c>
      <c r="R229" s="41">
        <v>3012.92749023437</v>
      </c>
      <c r="S229" s="41">
        <f t="shared" si="5"/>
        <v>-1.9248745384458102E-2</v>
      </c>
      <c r="T229" s="41">
        <f t="shared" si="5"/>
        <v>-1.8281936451143153E-2</v>
      </c>
    </row>
    <row r="230" spans="16:20" ht="15" customHeight="1">
      <c r="P230" s="53">
        <v>45712</v>
      </c>
      <c r="Q230" s="41">
        <v>20389.69921875</v>
      </c>
      <c r="R230" s="41">
        <v>2997.01708984375</v>
      </c>
      <c r="S230" s="41">
        <f t="shared" si="5"/>
        <v>1.9861167279028706E-4</v>
      </c>
      <c r="T230" s="41">
        <f t="shared" si="5"/>
        <v>-5.2807113487428657E-3</v>
      </c>
    </row>
    <row r="231" spans="16:20" ht="15" customHeight="1">
      <c r="P231" s="53">
        <v>45713</v>
      </c>
      <c r="Q231" s="41">
        <v>20249.150390625</v>
      </c>
      <c r="R231" s="41">
        <v>3004.69970703125</v>
      </c>
      <c r="S231" s="41">
        <f t="shared" si="5"/>
        <v>-6.893129055859433E-3</v>
      </c>
      <c r="T231" s="41">
        <f t="shared" si="5"/>
        <v>2.5634212142248858E-3</v>
      </c>
    </row>
    <row r="232" spans="16:20" ht="15" customHeight="1">
      <c r="P232" s="53">
        <v>45715</v>
      </c>
      <c r="Q232" s="41">
        <v>20201.25</v>
      </c>
      <c r="R232" s="41">
        <v>2961.03247070312</v>
      </c>
      <c r="S232" s="41">
        <f t="shared" si="5"/>
        <v>-2.3655506379752621E-3</v>
      </c>
      <c r="T232" s="41">
        <f t="shared" si="5"/>
        <v>-1.4532978528917547E-2</v>
      </c>
    </row>
    <row r="233" spans="16:20" ht="15" customHeight="1">
      <c r="P233" s="53">
        <v>45716</v>
      </c>
      <c r="Q233" s="41">
        <v>19813.5</v>
      </c>
      <c r="R233" s="41">
        <v>2922.47094726562</v>
      </c>
      <c r="S233" s="41">
        <f t="shared" si="5"/>
        <v>-1.9194356784852422E-2</v>
      </c>
      <c r="T233" s="41">
        <f t="shared" si="5"/>
        <v>-1.3022999179858122E-2</v>
      </c>
    </row>
    <row r="234" spans="16:20" ht="15" customHeight="1">
      <c r="P234" s="53">
        <v>45719</v>
      </c>
      <c r="Q234" s="41">
        <v>19879.80078125</v>
      </c>
      <c r="R234" s="41">
        <v>2933.52392578125</v>
      </c>
      <c r="S234" s="41">
        <f t="shared" si="5"/>
        <v>3.3462427763898354E-3</v>
      </c>
      <c r="T234" s="41">
        <f t="shared" si="5"/>
        <v>3.782066174506066E-3</v>
      </c>
    </row>
    <row r="235" spans="16:20" ht="15" customHeight="1">
      <c r="P235" s="53">
        <v>45720</v>
      </c>
      <c r="Q235" s="41">
        <v>19820.650390625</v>
      </c>
      <c r="R235" s="41">
        <v>2904.82543945312</v>
      </c>
      <c r="S235" s="41">
        <f t="shared" si="5"/>
        <v>-2.9754015785102223E-3</v>
      </c>
      <c r="T235" s="41">
        <f t="shared" si="5"/>
        <v>-9.7829392410655313E-3</v>
      </c>
    </row>
    <row r="236" spans="16:20" ht="15" customHeight="1">
      <c r="P236" s="53">
        <v>45721</v>
      </c>
      <c r="Q236" s="41">
        <v>20126.80078125</v>
      </c>
      <c r="R236" s="41">
        <v>2952.85424804687</v>
      </c>
      <c r="S236" s="41">
        <f t="shared" si="5"/>
        <v>1.544603151720019E-2</v>
      </c>
      <c r="T236" s="41">
        <f t="shared" si="5"/>
        <v>1.6534146231792914E-2</v>
      </c>
    </row>
    <row r="237" spans="16:20" ht="15" customHeight="1">
      <c r="P237" s="53">
        <v>45722</v>
      </c>
      <c r="Q237" s="41">
        <v>20423.349609375</v>
      </c>
      <c r="R237" s="41">
        <v>3032.40673828125</v>
      </c>
      <c r="S237" s="41">
        <f t="shared" si="5"/>
        <v>1.4734027098895071E-2</v>
      </c>
      <c r="T237" s="41">
        <f t="shared" si="5"/>
        <v>2.6940879417600459E-2</v>
      </c>
    </row>
    <row r="238" spans="16:20" ht="15" customHeight="1">
      <c r="P238" s="53">
        <v>45723</v>
      </c>
      <c r="Q238" s="41">
        <v>20378.30078125</v>
      </c>
      <c r="R238" s="41">
        <v>3047.078125</v>
      </c>
      <c r="S238" s="41">
        <f t="shared" si="5"/>
        <v>-2.2057512105811026E-3</v>
      </c>
      <c r="T238" s="41">
        <f t="shared" si="5"/>
        <v>4.8381988252227844E-3</v>
      </c>
    </row>
    <row r="239" spans="16:20" ht="15" customHeight="1">
      <c r="P239" s="53">
        <v>45726</v>
      </c>
      <c r="Q239" s="41">
        <v>20256.55078125</v>
      </c>
      <c r="R239" s="41">
        <v>3044.40161132812</v>
      </c>
      <c r="S239" s="41">
        <f t="shared" si="5"/>
        <v>-5.9744922457922369E-3</v>
      </c>
      <c r="T239" s="41">
        <f t="shared" si="5"/>
        <v>-8.7838695369190842E-4</v>
      </c>
    </row>
    <row r="240" spans="16:20" ht="15" customHeight="1">
      <c r="P240" s="53">
        <v>45727</v>
      </c>
      <c r="Q240" s="41">
        <v>20332.099609375</v>
      </c>
      <c r="R240" s="41">
        <v>3031.36572265625</v>
      </c>
      <c r="S240" s="41">
        <f t="shared" si="5"/>
        <v>3.7295998188857501E-3</v>
      </c>
      <c r="T240" s="41">
        <f t="shared" si="5"/>
        <v>-4.2819214861021873E-3</v>
      </c>
    </row>
    <row r="241" spans="16:20" ht="15" customHeight="1">
      <c r="P241" s="53">
        <v>45728</v>
      </c>
      <c r="Q241" s="41">
        <v>20424</v>
      </c>
      <c r="R241" s="41">
        <v>3069.58056640625</v>
      </c>
      <c r="S241" s="41">
        <f t="shared" si="5"/>
        <v>4.5199655908937869E-3</v>
      </c>
      <c r="T241" s="41">
        <f t="shared" si="5"/>
        <v>1.2606477491113821E-2</v>
      </c>
    </row>
    <row r="242" spans="16:20" ht="15" customHeight="1">
      <c r="P242" s="53">
        <v>45729</v>
      </c>
      <c r="Q242" s="41">
        <v>20386.849609375</v>
      </c>
      <c r="R242" s="41">
        <v>3029.482421875</v>
      </c>
      <c r="S242" s="41">
        <f t="shared" si="5"/>
        <v>-1.8189576295045045E-3</v>
      </c>
      <c r="T242" s="41">
        <f t="shared" si="5"/>
        <v>-1.3063069583540986E-2</v>
      </c>
    </row>
    <row r="243" spans="16:20" ht="15" customHeight="1">
      <c r="P243" s="53">
        <v>45733</v>
      </c>
      <c r="Q243" s="41">
        <v>20703.94921875</v>
      </c>
      <c r="R243" s="41">
        <v>3039.69287109375</v>
      </c>
      <c r="S243" s="41">
        <f t="shared" si="5"/>
        <v>1.5554125107646847E-2</v>
      </c>
      <c r="T243" s="41">
        <f t="shared" si="5"/>
        <v>3.3703609385627572E-3</v>
      </c>
    </row>
    <row r="244" spans="16:20" ht="15" customHeight="1">
      <c r="P244" s="53">
        <v>45734</v>
      </c>
      <c r="Q244" s="41">
        <v>21041.30078125</v>
      </c>
      <c r="R244" s="41">
        <v>3039.69287109375</v>
      </c>
      <c r="S244" s="41">
        <f t="shared" si="5"/>
        <v>1.6294068292752872E-2</v>
      </c>
      <c r="T244" s="41">
        <f t="shared" si="5"/>
        <v>0</v>
      </c>
    </row>
    <row r="245" spans="16:20" ht="15" customHeight="1">
      <c r="P245" s="53">
        <v>45735</v>
      </c>
      <c r="Q245" s="41">
        <v>21145.650390625</v>
      </c>
      <c r="R245" s="41">
        <v>3163.556640625</v>
      </c>
      <c r="S245" s="41">
        <f t="shared" si="5"/>
        <v>4.9592755913639344E-3</v>
      </c>
      <c r="T245" s="41">
        <f t="shared" si="5"/>
        <v>4.0748777848296572E-2</v>
      </c>
    </row>
    <row r="246" spans="16:20" ht="15" customHeight="1">
      <c r="P246" s="53">
        <v>45736</v>
      </c>
      <c r="Q246" s="41">
        <v>21340.599609375</v>
      </c>
      <c r="R246" s="41">
        <v>3202.66357421875</v>
      </c>
      <c r="S246" s="41">
        <f t="shared" si="5"/>
        <v>9.2193531600442725E-3</v>
      </c>
      <c r="T246" s="41">
        <f t="shared" si="5"/>
        <v>1.2361698567857455E-2</v>
      </c>
    </row>
    <row r="247" spans="16:20" ht="15" customHeight="1">
      <c r="P247" s="53">
        <v>45737</v>
      </c>
      <c r="Q247" s="41">
        <v>21625.900390625</v>
      </c>
      <c r="R247" s="41">
        <v>3195.080078125</v>
      </c>
      <c r="S247" s="41">
        <f t="shared" si="5"/>
        <v>1.3368920577314349E-2</v>
      </c>
      <c r="T247" s="41">
        <f t="shared" si="5"/>
        <v>-2.3678715912581918E-3</v>
      </c>
    </row>
    <row r="248" spans="16:20" ht="15" customHeight="1">
      <c r="P248" s="53">
        <v>45740</v>
      </c>
      <c r="Q248" s="41">
        <v>21771.150390625</v>
      </c>
      <c r="R248" s="41">
        <v>3243.009765625</v>
      </c>
      <c r="S248" s="41">
        <f t="shared" si="5"/>
        <v>6.7164833545135085E-3</v>
      </c>
      <c r="T248" s="41">
        <f t="shared" si="5"/>
        <v>1.5001091155163487E-2</v>
      </c>
    </row>
    <row r="249" spans="16:20" ht="15" customHeight="1">
      <c r="P249" s="53">
        <v>45741</v>
      </c>
      <c r="Q249" s="41">
        <v>21542.5</v>
      </c>
      <c r="R249" s="41">
        <v>3216.83935546875</v>
      </c>
      <c r="S249" s="41">
        <f t="shared" si="5"/>
        <v>-1.0502448723309563E-2</v>
      </c>
      <c r="T249" s="41">
        <f t="shared" si="5"/>
        <v>-8.0697907337958265E-3</v>
      </c>
    </row>
    <row r="250" spans="16:20" ht="15" customHeight="1">
      <c r="P250" s="53">
        <v>45742</v>
      </c>
      <c r="Q250" s="41">
        <v>21360.599609375</v>
      </c>
      <c r="R250" s="41">
        <v>3191.11499023437</v>
      </c>
      <c r="S250" s="41">
        <f t="shared" si="5"/>
        <v>-8.4437920680051053E-3</v>
      </c>
      <c r="T250" s="41">
        <f t="shared" si="5"/>
        <v>-7.9967826775830739E-3</v>
      </c>
    </row>
    <row r="251" spans="16:20" ht="15" customHeight="1">
      <c r="P251" s="53">
        <v>45743</v>
      </c>
      <c r="Q251" s="41">
        <v>21275.150390625</v>
      </c>
      <c r="R251" s="41">
        <v>3205.04248046875</v>
      </c>
      <c r="S251" s="41">
        <f t="shared" si="5"/>
        <v>-4.0003192940565677E-3</v>
      </c>
      <c r="T251" s="41">
        <f t="shared" si="5"/>
        <v>4.364458904490027E-3</v>
      </c>
    </row>
    <row r="252" spans="16:20" ht="15" customHeight="1">
      <c r="P252" s="53">
        <v>45744</v>
      </c>
      <c r="Q252" s="41">
        <v>21137.44921875</v>
      </c>
      <c r="R252" s="41">
        <v>3199.8876953125</v>
      </c>
      <c r="S252" s="41">
        <f t="shared" si="5"/>
        <v>-6.4723947585197186E-3</v>
      </c>
      <c r="T252" s="41">
        <f t="shared" si="5"/>
        <v>-1.6083359854550485E-3</v>
      </c>
    </row>
  </sheetData>
  <mergeCells count="2">
    <mergeCell ref="C2:F2"/>
    <mergeCell ref="P2:T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7430F-240A-47CC-90DC-0DCF39953CD3}">
  <dimension ref="A2:C254"/>
  <sheetViews>
    <sheetView zoomScale="75" workbookViewId="0">
      <selection activeCell="D8" sqref="D8"/>
    </sheetView>
  </sheetViews>
  <sheetFormatPr defaultRowHeight="14.4"/>
  <cols>
    <col min="1" max="1" width="10.33203125" bestFit="1" customWidth="1"/>
    <col min="2" max="2" width="12.6640625" bestFit="1" customWidth="1"/>
  </cols>
  <sheetData>
    <row r="2" spans="1:3">
      <c r="C2" s="1" t="s">
        <v>7</v>
      </c>
    </row>
    <row r="3" spans="1:3">
      <c r="A3" t="s">
        <v>1</v>
      </c>
      <c r="B3" t="s">
        <v>2</v>
      </c>
    </row>
    <row r="4" spans="1:3">
      <c r="A4" t="s">
        <v>6</v>
      </c>
      <c r="B4" t="s">
        <v>7</v>
      </c>
    </row>
    <row r="5" spans="1:3">
      <c r="A5" t="s">
        <v>10</v>
      </c>
    </row>
    <row r="6" spans="1:3">
      <c r="A6" s="2">
        <v>45734</v>
      </c>
      <c r="B6">
        <v>21041.30078125</v>
      </c>
    </row>
    <row r="7" spans="1:3">
      <c r="A7" s="2">
        <v>45735</v>
      </c>
      <c r="B7">
        <v>21145.650390625</v>
      </c>
    </row>
    <row r="8" spans="1:3">
      <c r="A8" s="2">
        <v>45736</v>
      </c>
      <c r="B8">
        <v>21340.599609375</v>
      </c>
    </row>
    <row r="9" spans="1:3">
      <c r="A9" s="2">
        <v>45737</v>
      </c>
      <c r="B9">
        <v>21625.900390625</v>
      </c>
    </row>
    <row r="10" spans="1:3">
      <c r="A10" s="2">
        <v>45740</v>
      </c>
      <c r="B10">
        <v>21771.150390625</v>
      </c>
    </row>
    <row r="11" spans="1:3">
      <c r="A11" s="2">
        <v>45741</v>
      </c>
      <c r="B11">
        <v>21542.5</v>
      </c>
    </row>
    <row r="12" spans="1:3">
      <c r="A12" s="2">
        <v>45742</v>
      </c>
      <c r="B12">
        <v>21360.599609375</v>
      </c>
    </row>
    <row r="13" spans="1:3">
      <c r="A13" s="2">
        <v>45743</v>
      </c>
      <c r="B13">
        <v>21275.150390625</v>
      </c>
    </row>
    <row r="14" spans="1:3">
      <c r="A14" s="2">
        <v>45744</v>
      </c>
      <c r="B14">
        <v>21137.44921875</v>
      </c>
    </row>
    <row r="15" spans="1:3">
      <c r="A15" s="2">
        <v>45748</v>
      </c>
      <c r="B15">
        <v>20771.80078125</v>
      </c>
    </row>
    <row r="16" spans="1:3">
      <c r="A16" s="2">
        <v>45749</v>
      </c>
      <c r="B16">
        <v>20952.849609375</v>
      </c>
    </row>
    <row r="17" spans="1:2">
      <c r="A17" s="2">
        <v>45750</v>
      </c>
      <c r="B17">
        <v>21423.55078125</v>
      </c>
    </row>
    <row r="18" spans="1:2">
      <c r="A18" s="2">
        <v>45751</v>
      </c>
      <c r="B18">
        <v>20560</v>
      </c>
    </row>
    <row r="19" spans="1:2">
      <c r="A19" s="2">
        <v>45754</v>
      </c>
      <c r="B19">
        <v>19995.5</v>
      </c>
    </row>
    <row r="20" spans="1:2">
      <c r="A20" s="2">
        <v>45755</v>
      </c>
      <c r="B20">
        <v>20377.900390625</v>
      </c>
    </row>
    <row r="21" spans="1:2">
      <c r="A21" s="2">
        <v>45756</v>
      </c>
      <c r="B21">
        <v>19976.30078125</v>
      </c>
    </row>
    <row r="22" spans="1:2">
      <c r="A22" s="2">
        <v>45758</v>
      </c>
      <c r="B22">
        <v>20461.900390625</v>
      </c>
    </row>
    <row r="23" spans="1:2">
      <c r="A23" s="2">
        <v>45762</v>
      </c>
      <c r="B23">
        <v>20912.19921875</v>
      </c>
    </row>
    <row r="24" spans="1:2">
      <c r="A24" s="2">
        <v>45763</v>
      </c>
      <c r="B24">
        <v>20874.30078125</v>
      </c>
    </row>
    <row r="25" spans="1:2">
      <c r="A25" s="2">
        <v>45764</v>
      </c>
      <c r="B25">
        <v>21126.75</v>
      </c>
    </row>
    <row r="26" spans="1:2">
      <c r="A26" s="2">
        <v>45768</v>
      </c>
      <c r="B26">
        <v>21351.05078125</v>
      </c>
    </row>
    <row r="27" spans="1:2">
      <c r="A27" s="2">
        <v>45769</v>
      </c>
      <c r="B27">
        <v>21438.05078125</v>
      </c>
    </row>
    <row r="28" spans="1:2">
      <c r="A28" s="2">
        <v>45770</v>
      </c>
      <c r="B28">
        <v>21738.94921875</v>
      </c>
    </row>
    <row r="29" spans="1:2">
      <c r="A29" s="2">
        <v>45771</v>
      </c>
      <c r="B29">
        <v>21974.599609375</v>
      </c>
    </row>
    <row r="30" spans="1:2">
      <c r="A30" s="2">
        <v>45772</v>
      </c>
      <c r="B30">
        <v>21482.55078125</v>
      </c>
    </row>
    <row r="31" spans="1:2">
      <c r="A31" s="2">
        <v>45775</v>
      </c>
      <c r="B31">
        <v>21908.099609375</v>
      </c>
    </row>
    <row r="32" spans="1:2">
      <c r="A32" s="2">
        <v>45776</v>
      </c>
      <c r="B32">
        <v>21676.650390625</v>
      </c>
    </row>
    <row r="33" spans="1:2">
      <c r="A33" s="2">
        <v>45777</v>
      </c>
      <c r="B33">
        <v>21772.44921875</v>
      </c>
    </row>
    <row r="34" spans="1:2">
      <c r="A34" s="2">
        <v>45779</v>
      </c>
      <c r="B34">
        <v>21627.44921875</v>
      </c>
    </row>
    <row r="35" spans="1:2">
      <c r="A35" s="2">
        <v>45782</v>
      </c>
      <c r="B35">
        <v>21775.75</v>
      </c>
    </row>
    <row r="36" spans="1:2">
      <c r="A36" s="2">
        <v>45783</v>
      </c>
      <c r="B36">
        <v>21534.349609375</v>
      </c>
    </row>
    <row r="37" spans="1:2">
      <c r="A37" s="2">
        <v>45784</v>
      </c>
      <c r="B37">
        <v>21462.44921875</v>
      </c>
    </row>
    <row r="38" spans="1:2">
      <c r="A38" s="2">
        <v>45785</v>
      </c>
      <c r="B38">
        <v>21115.05078125</v>
      </c>
    </row>
    <row r="39" spans="1:2">
      <c r="A39" s="2">
        <v>45786</v>
      </c>
      <c r="B39">
        <v>21071.75</v>
      </c>
    </row>
    <row r="40" spans="1:2">
      <c r="A40" s="2">
        <v>45789</v>
      </c>
      <c r="B40">
        <v>21102.69921875</v>
      </c>
    </row>
    <row r="41" spans="1:2">
      <c r="A41" s="2">
        <v>45790</v>
      </c>
      <c r="B41">
        <v>21359.75</v>
      </c>
    </row>
    <row r="42" spans="1:2">
      <c r="A42" s="2">
        <v>45791</v>
      </c>
      <c r="B42">
        <v>21480.5</v>
      </c>
    </row>
    <row r="43" spans="1:2">
      <c r="A43" s="2">
        <v>45792</v>
      </c>
      <c r="B43">
        <v>21650.650390625</v>
      </c>
    </row>
    <row r="44" spans="1:2">
      <c r="A44" s="2">
        <v>45793</v>
      </c>
      <c r="B44">
        <v>21633.19921875</v>
      </c>
    </row>
    <row r="45" spans="1:2">
      <c r="A45" s="2">
        <v>45796</v>
      </c>
      <c r="B45">
        <v>21740.44921875</v>
      </c>
    </row>
    <row r="46" spans="1:2">
      <c r="A46" s="2">
        <v>45797</v>
      </c>
      <c r="B46">
        <v>21456.150390625</v>
      </c>
    </row>
    <row r="47" spans="1:2">
      <c r="A47" s="2">
        <v>45798</v>
      </c>
      <c r="B47">
        <v>21723.650390625</v>
      </c>
    </row>
    <row r="48" spans="1:2">
      <c r="A48" s="2">
        <v>45799</v>
      </c>
      <c r="B48">
        <v>21521.75</v>
      </c>
    </row>
    <row r="49" spans="1:2">
      <c r="A49" s="2">
        <v>45800</v>
      </c>
      <c r="B49">
        <v>21434.25</v>
      </c>
    </row>
    <row r="50" spans="1:2">
      <c r="A50" s="2">
        <v>45803</v>
      </c>
      <c r="B50">
        <v>21501.80078125</v>
      </c>
    </row>
    <row r="51" spans="1:2">
      <c r="A51" s="2">
        <v>45804</v>
      </c>
      <c r="B51">
        <v>21524.94921875</v>
      </c>
    </row>
    <row r="52" spans="1:2">
      <c r="A52" s="2">
        <v>45805</v>
      </c>
      <c r="B52">
        <v>21393.30078125</v>
      </c>
    </row>
    <row r="53" spans="1:2">
      <c r="A53" s="2">
        <v>45806</v>
      </c>
      <c r="B53">
        <v>21589.349609375</v>
      </c>
    </row>
    <row r="54" spans="1:2">
      <c r="A54" s="2">
        <v>45807</v>
      </c>
      <c r="B54">
        <v>21442.05078125</v>
      </c>
    </row>
    <row r="55" spans="1:2">
      <c r="A55" s="2">
        <v>45810</v>
      </c>
      <c r="B55">
        <v>21394.099609375</v>
      </c>
    </row>
    <row r="56" spans="1:2">
      <c r="A56" s="2">
        <v>45811</v>
      </c>
      <c r="B56">
        <v>21354.19921875</v>
      </c>
    </row>
    <row r="57" spans="1:2">
      <c r="A57" s="2">
        <v>45812</v>
      </c>
      <c r="B57">
        <v>21371.69921875</v>
      </c>
    </row>
    <row r="58" spans="1:2">
      <c r="A58" s="2">
        <v>45813</v>
      </c>
      <c r="B58">
        <v>21644.19921875</v>
      </c>
    </row>
    <row r="59" spans="1:2">
      <c r="A59" s="2">
        <v>45814</v>
      </c>
      <c r="B59">
        <v>21684.400390625</v>
      </c>
    </row>
    <row r="60" spans="1:2">
      <c r="A60" s="2">
        <v>45817</v>
      </c>
      <c r="B60">
        <v>21826.80078125</v>
      </c>
    </row>
    <row r="61" spans="1:2">
      <c r="A61" s="2">
        <v>45818</v>
      </c>
      <c r="B61">
        <v>21948</v>
      </c>
    </row>
    <row r="62" spans="1:2">
      <c r="A62" s="2">
        <v>45819</v>
      </c>
      <c r="B62">
        <v>22057.150390625</v>
      </c>
    </row>
    <row r="63" spans="1:2">
      <c r="A63" s="2">
        <v>45820</v>
      </c>
      <c r="B63">
        <v>22036.150390625</v>
      </c>
    </row>
    <row r="64" spans="1:2">
      <c r="A64" s="2">
        <v>45821</v>
      </c>
      <c r="B64">
        <v>21985.150390625</v>
      </c>
    </row>
    <row r="65" spans="1:2">
      <c r="A65" s="2">
        <v>45824</v>
      </c>
      <c r="B65">
        <v>22039.44921875</v>
      </c>
    </row>
    <row r="66" spans="1:2">
      <c r="A66" s="2">
        <v>45825</v>
      </c>
      <c r="B66">
        <v>21622.80078125</v>
      </c>
    </row>
    <row r="67" spans="1:2">
      <c r="A67" s="2">
        <v>45826</v>
      </c>
      <c r="B67">
        <v>21588.400390625</v>
      </c>
    </row>
    <row r="68" spans="1:2">
      <c r="A68" s="2">
        <v>45827</v>
      </c>
      <c r="B68">
        <v>21441.849609375</v>
      </c>
    </row>
    <row r="69" spans="1:2">
      <c r="A69" s="2">
        <v>45828</v>
      </c>
      <c r="B69">
        <v>21613</v>
      </c>
    </row>
    <row r="70" spans="1:2">
      <c r="A70" s="2">
        <v>45831</v>
      </c>
      <c r="B70">
        <v>21626.19921875</v>
      </c>
    </row>
    <row r="71" spans="1:2">
      <c r="A71" s="2">
        <v>45832</v>
      </c>
      <c r="B71">
        <v>21672.099609375</v>
      </c>
    </row>
    <row r="72" spans="1:2">
      <c r="A72" s="2">
        <v>45833</v>
      </c>
      <c r="B72">
        <v>21804.80078125</v>
      </c>
    </row>
    <row r="73" spans="1:2">
      <c r="A73" s="2">
        <v>45834</v>
      </c>
      <c r="B73">
        <v>21808.19921875</v>
      </c>
    </row>
    <row r="74" spans="1:2">
      <c r="A74" s="2">
        <v>45835</v>
      </c>
      <c r="B74">
        <v>21928.599609375</v>
      </c>
    </row>
    <row r="75" spans="1:2">
      <c r="A75" s="2">
        <v>45838</v>
      </c>
      <c r="B75">
        <v>22038.69921875</v>
      </c>
    </row>
    <row r="76" spans="1:2">
      <c r="A76" s="2">
        <v>45839</v>
      </c>
      <c r="B76">
        <v>22041.25</v>
      </c>
    </row>
    <row r="77" spans="1:2">
      <c r="A77" s="2">
        <v>45840</v>
      </c>
      <c r="B77">
        <v>22110.80078125</v>
      </c>
    </row>
    <row r="78" spans="1:2">
      <c r="A78" s="2">
        <v>45841</v>
      </c>
      <c r="B78">
        <v>22204.25</v>
      </c>
    </row>
    <row r="79" spans="1:2">
      <c r="A79" s="2">
        <v>45842</v>
      </c>
      <c r="B79">
        <v>22384.599609375</v>
      </c>
    </row>
    <row r="80" spans="1:2">
      <c r="A80" s="2">
        <v>45845</v>
      </c>
      <c r="B80">
        <v>22365.05078125</v>
      </c>
    </row>
    <row r="81" spans="1:2">
      <c r="A81" s="2">
        <v>45846</v>
      </c>
      <c r="B81">
        <v>22165.900390625</v>
      </c>
    </row>
    <row r="82" spans="1:2">
      <c r="A82" s="2">
        <v>45847</v>
      </c>
      <c r="B82">
        <v>22208.5</v>
      </c>
    </row>
    <row r="83" spans="1:2">
      <c r="A83" s="2">
        <v>45848</v>
      </c>
      <c r="B83">
        <v>22076.80078125</v>
      </c>
    </row>
    <row r="84" spans="1:2">
      <c r="A84" s="2">
        <v>45849</v>
      </c>
      <c r="B84">
        <v>22225.900390625</v>
      </c>
    </row>
    <row r="85" spans="1:2">
      <c r="A85" s="2">
        <v>45852</v>
      </c>
      <c r="B85">
        <v>22410.349609375</v>
      </c>
    </row>
    <row r="86" spans="1:2">
      <c r="A86" s="2">
        <v>45853</v>
      </c>
      <c r="B86">
        <v>22665.69921875</v>
      </c>
    </row>
    <row r="87" spans="1:2">
      <c r="A87" s="2">
        <v>45854</v>
      </c>
      <c r="B87">
        <v>22593.900390625</v>
      </c>
    </row>
    <row r="88" spans="1:2">
      <c r="A88" s="2">
        <v>45855</v>
      </c>
      <c r="B88">
        <v>22680.349609375</v>
      </c>
    </row>
    <row r="89" spans="1:2">
      <c r="A89" s="2">
        <v>45856</v>
      </c>
      <c r="B89">
        <v>22592.75</v>
      </c>
    </row>
    <row r="90" spans="1:2">
      <c r="A90" s="2">
        <v>45859</v>
      </c>
      <c r="B90">
        <v>22531.849609375</v>
      </c>
    </row>
    <row r="91" spans="1:2">
      <c r="A91" s="2">
        <v>45860</v>
      </c>
      <c r="B91">
        <v>22307.19921875</v>
      </c>
    </row>
    <row r="92" spans="1:2">
      <c r="A92" s="2">
        <v>45861</v>
      </c>
      <c r="B92">
        <v>22417.44921875</v>
      </c>
    </row>
    <row r="93" spans="1:2">
      <c r="A93" s="2">
        <v>45862</v>
      </c>
      <c r="B93">
        <v>22541.05078125</v>
      </c>
    </row>
    <row r="94" spans="1:2">
      <c r="A94" s="2">
        <v>45863</v>
      </c>
      <c r="B94">
        <v>22662.69921875</v>
      </c>
    </row>
    <row r="95" spans="1:2">
      <c r="A95" s="2">
        <v>45866</v>
      </c>
      <c r="B95">
        <v>22761.150390625</v>
      </c>
    </row>
    <row r="96" spans="1:2">
      <c r="A96" s="2">
        <v>45867</v>
      </c>
      <c r="B96">
        <v>23072.44921875</v>
      </c>
    </row>
    <row r="97" spans="1:2">
      <c r="A97" s="2">
        <v>45868</v>
      </c>
      <c r="B97">
        <v>23073.900390625</v>
      </c>
    </row>
    <row r="98" spans="1:2">
      <c r="A98" s="2">
        <v>45869</v>
      </c>
      <c r="B98">
        <v>22771.05078125</v>
      </c>
    </row>
    <row r="99" spans="1:2">
      <c r="A99" s="2">
        <v>45870</v>
      </c>
      <c r="B99">
        <v>22011.69921875</v>
      </c>
    </row>
    <row r="100" spans="1:2">
      <c r="A100" s="2">
        <v>45873</v>
      </c>
      <c r="B100">
        <v>22153.80078125</v>
      </c>
    </row>
    <row r="101" spans="1:2">
      <c r="A101" s="2">
        <v>45874</v>
      </c>
      <c r="B101">
        <v>21970.150390625</v>
      </c>
    </row>
    <row r="102" spans="1:2">
      <c r="A102" s="2">
        <v>45875</v>
      </c>
      <c r="B102">
        <v>21523.75</v>
      </c>
    </row>
    <row r="103" spans="1:2">
      <c r="A103" s="2">
        <v>45876</v>
      </c>
      <c r="B103">
        <v>21684.80078125</v>
      </c>
    </row>
    <row r="104" spans="1:2">
      <c r="A104" s="2">
        <v>45877</v>
      </c>
      <c r="B104">
        <v>21402.150390625</v>
      </c>
    </row>
    <row r="105" spans="1:2">
      <c r="A105" s="2">
        <v>45880</v>
      </c>
      <c r="B105">
        <v>21604.650390625</v>
      </c>
    </row>
    <row r="106" spans="1:2">
      <c r="A106" s="2">
        <v>45881</v>
      </c>
      <c r="B106">
        <v>21753.5</v>
      </c>
    </row>
    <row r="107" spans="1:2">
      <c r="A107" s="2">
        <v>45882</v>
      </c>
      <c r="B107">
        <v>22130.30078125</v>
      </c>
    </row>
    <row r="108" spans="1:2">
      <c r="A108" s="2">
        <v>45883</v>
      </c>
      <c r="B108">
        <v>22151.849609375</v>
      </c>
    </row>
    <row r="109" spans="1:2">
      <c r="A109" s="2">
        <v>45887</v>
      </c>
      <c r="B109">
        <v>22141.150390625</v>
      </c>
    </row>
    <row r="110" spans="1:2">
      <c r="A110" s="2">
        <v>45888</v>
      </c>
      <c r="B110">
        <v>22066.75</v>
      </c>
    </row>
    <row r="111" spans="1:2">
      <c r="A111" s="2">
        <v>45889</v>
      </c>
      <c r="B111">
        <v>21969.5</v>
      </c>
    </row>
    <row r="112" spans="1:2">
      <c r="A112" s="2">
        <v>45890</v>
      </c>
      <c r="B112">
        <v>22177.69921875</v>
      </c>
    </row>
    <row r="113" spans="1:2">
      <c r="A113" s="2">
        <v>45891</v>
      </c>
      <c r="B113">
        <v>22265</v>
      </c>
    </row>
    <row r="114" spans="1:2">
      <c r="A114" s="2">
        <v>45894</v>
      </c>
      <c r="B114">
        <v>22362.80078125</v>
      </c>
    </row>
    <row r="115" spans="1:2">
      <c r="A115" s="2">
        <v>45895</v>
      </c>
      <c r="B115">
        <v>21990</v>
      </c>
    </row>
    <row r="116" spans="1:2">
      <c r="A116" s="2">
        <v>45897</v>
      </c>
      <c r="B116">
        <v>21808.349609375</v>
      </c>
    </row>
    <row r="117" spans="1:2">
      <c r="A117" s="2">
        <v>45898</v>
      </c>
      <c r="B117">
        <v>21804.05078125</v>
      </c>
    </row>
    <row r="118" spans="1:2">
      <c r="A118" s="2">
        <v>45901</v>
      </c>
      <c r="B118">
        <v>21778.849609375</v>
      </c>
    </row>
    <row r="119" spans="1:2">
      <c r="A119" s="2">
        <v>45902</v>
      </c>
      <c r="B119">
        <v>21719.94921875</v>
      </c>
    </row>
    <row r="120" spans="1:2">
      <c r="A120" s="2">
        <v>45903</v>
      </c>
      <c r="B120">
        <v>21959.599609375</v>
      </c>
    </row>
    <row r="121" spans="1:2">
      <c r="A121" s="2">
        <v>45904</v>
      </c>
      <c r="B121">
        <v>21915.400390625</v>
      </c>
    </row>
    <row r="122" spans="1:2">
      <c r="A122" s="2">
        <v>45905</v>
      </c>
      <c r="B122">
        <v>21924.80078125</v>
      </c>
    </row>
    <row r="123" spans="1:2">
      <c r="A123" s="2">
        <v>45908</v>
      </c>
      <c r="B123">
        <v>21865.19921875</v>
      </c>
    </row>
    <row r="124" spans="1:2">
      <c r="A124" s="2">
        <v>45909</v>
      </c>
      <c r="B124">
        <v>22052.650390625</v>
      </c>
    </row>
    <row r="125" spans="1:2">
      <c r="A125" s="2">
        <v>45910</v>
      </c>
      <c r="B125">
        <v>22122.05078125</v>
      </c>
    </row>
    <row r="126" spans="1:2">
      <c r="A126" s="2">
        <v>45911</v>
      </c>
      <c r="B126">
        <v>22224</v>
      </c>
    </row>
    <row r="127" spans="1:2">
      <c r="A127" s="2">
        <v>45912</v>
      </c>
      <c r="B127">
        <v>22341.19921875</v>
      </c>
    </row>
    <row r="128" spans="1:2">
      <c r="A128" s="2">
        <v>45915</v>
      </c>
      <c r="B128">
        <v>22198.69921875</v>
      </c>
    </row>
    <row r="129" spans="1:2">
      <c r="A129" s="2">
        <v>45916</v>
      </c>
      <c r="B129">
        <v>22264.55078125</v>
      </c>
    </row>
    <row r="130" spans="1:2">
      <c r="A130" s="2">
        <v>45917</v>
      </c>
      <c r="B130">
        <v>22241.349609375</v>
      </c>
    </row>
    <row r="131" spans="1:2">
      <c r="A131" s="2">
        <v>45918</v>
      </c>
      <c r="B131">
        <v>22574.349609375</v>
      </c>
    </row>
    <row r="132" spans="1:2">
      <c r="A132" s="2">
        <v>45919</v>
      </c>
      <c r="B132">
        <v>22686.599609375</v>
      </c>
    </row>
    <row r="133" spans="1:2">
      <c r="A133" s="2">
        <v>45922</v>
      </c>
      <c r="B133">
        <v>22365.75</v>
      </c>
    </row>
    <row r="134" spans="1:2">
      <c r="A134" s="2">
        <v>45923</v>
      </c>
      <c r="B134">
        <v>22299.099609375</v>
      </c>
    </row>
    <row r="135" spans="1:2">
      <c r="A135" s="2">
        <v>45924</v>
      </c>
      <c r="B135">
        <v>22180.69921875</v>
      </c>
    </row>
    <row r="136" spans="1:2">
      <c r="A136" s="2">
        <v>45925</v>
      </c>
      <c r="B136">
        <v>21977.69921875</v>
      </c>
    </row>
    <row r="137" spans="1:2">
      <c r="A137" s="2">
        <v>45926</v>
      </c>
      <c r="B137">
        <v>21507.19921875</v>
      </c>
    </row>
    <row r="138" spans="1:2">
      <c r="A138" s="2">
        <v>45929</v>
      </c>
      <c r="B138">
        <v>21475.30078125</v>
      </c>
    </row>
    <row r="139" spans="1:2">
      <c r="A139" s="2">
        <v>45930</v>
      </c>
      <c r="B139">
        <v>21454.25</v>
      </c>
    </row>
    <row r="140" spans="1:2">
      <c r="A140" s="2">
        <v>45931</v>
      </c>
      <c r="B140">
        <v>21733.5</v>
      </c>
    </row>
    <row r="141" spans="1:2">
      <c r="A141" s="2">
        <v>45933</v>
      </c>
      <c r="B141">
        <v>21756.349609375</v>
      </c>
    </row>
    <row r="142" spans="1:2">
      <c r="A142" s="2">
        <v>45936</v>
      </c>
      <c r="B142">
        <v>21779.849609375</v>
      </c>
    </row>
    <row r="143" spans="1:2">
      <c r="A143" s="2">
        <v>45937</v>
      </c>
      <c r="B143">
        <v>21875.30078125</v>
      </c>
    </row>
    <row r="144" spans="1:2">
      <c r="A144" s="2">
        <v>45938</v>
      </c>
      <c r="B144">
        <v>21707.349609375</v>
      </c>
    </row>
    <row r="145" spans="1:2">
      <c r="A145" s="2">
        <v>45939</v>
      </c>
      <c r="B145">
        <v>21936.19921875</v>
      </c>
    </row>
    <row r="146" spans="1:2">
      <c r="A146" s="2">
        <v>45940</v>
      </c>
      <c r="B146">
        <v>22218.25</v>
      </c>
    </row>
    <row r="147" spans="1:2">
      <c r="A147" s="2">
        <v>45943</v>
      </c>
      <c r="B147">
        <v>22205.099609375</v>
      </c>
    </row>
    <row r="148" spans="1:2">
      <c r="A148" s="2">
        <v>45944</v>
      </c>
      <c r="B148">
        <v>22039.25</v>
      </c>
    </row>
    <row r="149" spans="1:2">
      <c r="A149" s="2">
        <v>45945</v>
      </c>
      <c r="B149">
        <v>22057.30078125</v>
      </c>
    </row>
    <row r="150" spans="1:2">
      <c r="A150" s="2">
        <v>45946</v>
      </c>
      <c r="B150">
        <v>22103.19921875</v>
      </c>
    </row>
    <row r="151" spans="1:2">
      <c r="A151" s="2">
        <v>45947</v>
      </c>
      <c r="B151">
        <v>22253.75</v>
      </c>
    </row>
    <row r="152" spans="1:2">
      <c r="A152" s="2">
        <v>45950</v>
      </c>
      <c r="B152">
        <v>22439.900390625</v>
      </c>
    </row>
    <row r="153" spans="1:2">
      <c r="A153" s="2">
        <v>45951</v>
      </c>
      <c r="B153">
        <v>22515.69921875</v>
      </c>
    </row>
    <row r="154" spans="1:2">
      <c r="A154" s="2">
        <v>45953</v>
      </c>
      <c r="B154">
        <v>22481.25</v>
      </c>
    </row>
    <row r="155" spans="1:2">
      <c r="A155" s="2">
        <v>45954</v>
      </c>
      <c r="B155">
        <v>22357.349609375</v>
      </c>
    </row>
    <row r="156" spans="1:2">
      <c r="A156" s="2">
        <v>45957</v>
      </c>
      <c r="B156">
        <v>22310.400390625</v>
      </c>
    </row>
    <row r="157" spans="1:2">
      <c r="A157" s="2">
        <v>45958</v>
      </c>
      <c r="B157">
        <v>22250.900390625</v>
      </c>
    </row>
    <row r="158" spans="1:2">
      <c r="A158" s="2">
        <v>45959</v>
      </c>
      <c r="B158">
        <v>22430.69921875</v>
      </c>
    </row>
    <row r="159" spans="1:2">
      <c r="A159" s="2">
        <v>45960</v>
      </c>
      <c r="B159">
        <v>22298.19921875</v>
      </c>
    </row>
    <row r="160" spans="1:2">
      <c r="A160" s="2">
        <v>45961</v>
      </c>
      <c r="B160">
        <v>22175.400390625</v>
      </c>
    </row>
    <row r="161" spans="1:2">
      <c r="A161" s="2">
        <v>45964</v>
      </c>
      <c r="B161">
        <v>22442.599609375</v>
      </c>
    </row>
    <row r="162" spans="1:2">
      <c r="A162" s="2">
        <v>45965</v>
      </c>
      <c r="B162">
        <v>22334.44921875</v>
      </c>
    </row>
    <row r="163" spans="1:2">
      <c r="A163" s="2">
        <v>45967</v>
      </c>
      <c r="B163">
        <v>22250.55078125</v>
      </c>
    </row>
    <row r="164" spans="1:2">
      <c r="A164" s="2">
        <v>45968</v>
      </c>
      <c r="B164">
        <v>22169.80078125</v>
      </c>
    </row>
    <row r="165" spans="1:2">
      <c r="A165" s="2">
        <v>45971</v>
      </c>
      <c r="B165">
        <v>22379.849609375</v>
      </c>
    </row>
    <row r="166" spans="1:2">
      <c r="A166" s="2">
        <v>45972</v>
      </c>
      <c r="B166">
        <v>22369.599609375</v>
      </c>
    </row>
    <row r="167" spans="1:2">
      <c r="A167" s="2">
        <v>45973</v>
      </c>
      <c r="B167">
        <v>22593.400390625</v>
      </c>
    </row>
    <row r="168" spans="1:2">
      <c r="A168" s="2">
        <v>45974</v>
      </c>
      <c r="B168">
        <v>22686.80078125</v>
      </c>
    </row>
    <row r="169" spans="1:2">
      <c r="A169" s="2">
        <v>45975</v>
      </c>
      <c r="B169">
        <v>22821.05078125</v>
      </c>
    </row>
    <row r="170" spans="1:2">
      <c r="A170" s="2">
        <v>45978</v>
      </c>
      <c r="B170">
        <v>22867.599609375</v>
      </c>
    </row>
    <row r="171" spans="1:2">
      <c r="A171" s="2">
        <v>45979</v>
      </c>
      <c r="B171">
        <v>22713.650390625</v>
      </c>
    </row>
    <row r="172" spans="1:2">
      <c r="A172" s="2">
        <v>45980</v>
      </c>
      <c r="B172">
        <v>22727.650390625</v>
      </c>
    </row>
    <row r="173" spans="1:2">
      <c r="A173" s="2">
        <v>45981</v>
      </c>
      <c r="B173">
        <v>22687.55078125</v>
      </c>
    </row>
    <row r="174" spans="1:2">
      <c r="A174" s="2">
        <v>45982</v>
      </c>
      <c r="B174">
        <v>22580.94921875</v>
      </c>
    </row>
    <row r="175" spans="1:2">
      <c r="A175" s="2">
        <v>45985</v>
      </c>
      <c r="B175">
        <v>22492.44921875</v>
      </c>
    </row>
    <row r="176" spans="1:2">
      <c r="A176" s="2">
        <v>45986</v>
      </c>
      <c r="B176">
        <v>22590.94921875</v>
      </c>
    </row>
    <row r="177" spans="1:2">
      <c r="A177" s="2">
        <v>45987</v>
      </c>
      <c r="B177">
        <v>22862.349609375</v>
      </c>
    </row>
    <row r="178" spans="1:2">
      <c r="A178" s="2">
        <v>45988</v>
      </c>
      <c r="B178">
        <v>22863</v>
      </c>
    </row>
    <row r="179" spans="1:2">
      <c r="A179" s="2">
        <v>45989</v>
      </c>
      <c r="B179">
        <v>22998.30078125</v>
      </c>
    </row>
    <row r="180" spans="1:2">
      <c r="A180" s="2">
        <v>45992</v>
      </c>
      <c r="B180">
        <v>22887.75</v>
      </c>
    </row>
    <row r="181" spans="1:2">
      <c r="A181" s="2">
        <v>45993</v>
      </c>
      <c r="B181">
        <v>22905</v>
      </c>
    </row>
    <row r="182" spans="1:2">
      <c r="A182" s="2">
        <v>45994</v>
      </c>
      <c r="B182">
        <v>22907.849609375</v>
      </c>
    </row>
    <row r="183" spans="1:2">
      <c r="A183" s="2">
        <v>45995</v>
      </c>
      <c r="B183">
        <v>22958.94921875</v>
      </c>
    </row>
    <row r="184" spans="1:2">
      <c r="A184" s="2">
        <v>45996</v>
      </c>
      <c r="B184">
        <v>22947.150390625</v>
      </c>
    </row>
    <row r="185" spans="1:2">
      <c r="A185" s="2">
        <v>45999</v>
      </c>
      <c r="B185">
        <v>22640.69921875</v>
      </c>
    </row>
    <row r="186" spans="1:2">
      <c r="A186" s="2">
        <v>46000</v>
      </c>
      <c r="B186">
        <v>22522.849609375</v>
      </c>
    </row>
    <row r="187" spans="1:2">
      <c r="A187" s="2">
        <v>46001</v>
      </c>
      <c r="B187">
        <v>22561.5</v>
      </c>
    </row>
    <row r="188" spans="1:2">
      <c r="A188" s="2">
        <v>46002</v>
      </c>
      <c r="B188">
        <v>22783.44921875</v>
      </c>
    </row>
    <row r="189" spans="1:2">
      <c r="A189" s="2">
        <v>46003</v>
      </c>
      <c r="B189">
        <v>22808.69921875</v>
      </c>
    </row>
    <row r="190" spans="1:2">
      <c r="A190" s="2">
        <v>46006</v>
      </c>
      <c r="B190">
        <v>22719.400390625</v>
      </c>
    </row>
    <row r="191" spans="1:2">
      <c r="A191" s="2">
        <v>46007</v>
      </c>
      <c r="B191">
        <v>22591.5</v>
      </c>
    </row>
    <row r="192" spans="1:2">
      <c r="A192" s="2">
        <v>46008</v>
      </c>
      <c r="B192">
        <v>22612.150390625</v>
      </c>
    </row>
    <row r="193" spans="1:2">
      <c r="A193" s="2">
        <v>46009</v>
      </c>
      <c r="B193">
        <v>22557.599609375</v>
      </c>
    </row>
    <row r="194" spans="1:2">
      <c r="A194" s="2">
        <v>46010</v>
      </c>
      <c r="B194">
        <v>22751.25</v>
      </c>
    </row>
    <row r="195" spans="1:2">
      <c r="A195" s="2">
        <v>46013</v>
      </c>
      <c r="B195">
        <v>22927.900390625</v>
      </c>
    </row>
    <row r="196" spans="1:2">
      <c r="A196" s="2">
        <v>46014</v>
      </c>
      <c r="B196">
        <v>22875.099609375</v>
      </c>
    </row>
    <row r="197" spans="1:2">
      <c r="A197" s="2">
        <v>46015</v>
      </c>
      <c r="B197">
        <v>22757.400390625</v>
      </c>
    </row>
    <row r="198" spans="1:2">
      <c r="A198" s="2">
        <v>46017</v>
      </c>
      <c r="B198">
        <v>22684.650390625</v>
      </c>
    </row>
    <row r="199" spans="1:2">
      <c r="A199" s="2">
        <v>46020</v>
      </c>
      <c r="B199">
        <v>22578.30078125</v>
      </c>
    </row>
    <row r="200" spans="1:2">
      <c r="A200" s="2">
        <v>46021</v>
      </c>
      <c r="B200">
        <v>22540.05078125</v>
      </c>
    </row>
    <row r="201" spans="1:2">
      <c r="A201" s="2">
        <v>46022</v>
      </c>
      <c r="B201">
        <v>22723.650390625</v>
      </c>
    </row>
    <row r="202" spans="1:2">
      <c r="A202" s="2">
        <v>46023</v>
      </c>
    </row>
    <row r="203" spans="1:2">
      <c r="A203" s="2">
        <v>46024</v>
      </c>
      <c r="B203">
        <v>22790.900390625</v>
      </c>
    </row>
    <row r="204" spans="1:2">
      <c r="A204" s="2">
        <v>46027</v>
      </c>
      <c r="B204">
        <v>22743.400390625</v>
      </c>
    </row>
    <row r="205" spans="1:2">
      <c r="A205" s="2">
        <v>46028</v>
      </c>
      <c r="B205">
        <v>23126.849609375</v>
      </c>
    </row>
    <row r="206" spans="1:2">
      <c r="A206" s="2">
        <v>46029</v>
      </c>
      <c r="B206">
        <v>23286.25</v>
      </c>
    </row>
    <row r="207" spans="1:2">
      <c r="A207" s="2">
        <v>46030</v>
      </c>
      <c r="B207">
        <v>22962.55078125</v>
      </c>
    </row>
    <row r="208" spans="1:2">
      <c r="A208" s="2">
        <v>46031</v>
      </c>
      <c r="B208">
        <v>22761</v>
      </c>
    </row>
    <row r="209" spans="1:2">
      <c r="A209" s="2">
        <v>46034</v>
      </c>
      <c r="B209">
        <v>22668.44921875</v>
      </c>
    </row>
    <row r="210" spans="1:2">
      <c r="A210" s="2">
        <v>46035</v>
      </c>
      <c r="B210">
        <v>22562.30078125</v>
      </c>
    </row>
    <row r="211" spans="1:2">
      <c r="A211" s="2">
        <v>46036</v>
      </c>
      <c r="B211">
        <v>22505.400390625</v>
      </c>
    </row>
    <row r="212" spans="1:2">
      <c r="A212" s="2">
        <v>46037</v>
      </c>
    </row>
    <row r="213" spans="1:2">
      <c r="A213" s="2">
        <v>46038</v>
      </c>
      <c r="B213">
        <v>22217.05078125</v>
      </c>
    </row>
    <row r="214" spans="1:2">
      <c r="A214" s="2">
        <v>46041</v>
      </c>
      <c r="B214">
        <v>22136.25</v>
      </c>
    </row>
    <row r="215" spans="1:2">
      <c r="A215" s="2">
        <v>46042</v>
      </c>
      <c r="B215">
        <v>21714.30078125</v>
      </c>
    </row>
    <row r="216" spans="1:2">
      <c r="A216" s="2">
        <v>46043</v>
      </c>
      <c r="B216">
        <v>21584.400390625</v>
      </c>
    </row>
    <row r="217" spans="1:2">
      <c r="A217" s="2">
        <v>46044</v>
      </c>
      <c r="B217">
        <v>21928</v>
      </c>
    </row>
    <row r="218" spans="1:2">
      <c r="A218" s="2">
        <v>46045</v>
      </c>
      <c r="B218">
        <v>21722.25</v>
      </c>
    </row>
    <row r="219" spans="1:2">
      <c r="A219" s="2">
        <v>46049</v>
      </c>
      <c r="B219">
        <v>21788.44921875</v>
      </c>
    </row>
    <row r="220" spans="1:2">
      <c r="A220" s="2">
        <v>46050</v>
      </c>
      <c r="B220">
        <v>21739.849609375</v>
      </c>
    </row>
    <row r="221" spans="1:2">
      <c r="A221" s="2">
        <v>46051</v>
      </c>
      <c r="B221">
        <v>21564</v>
      </c>
    </row>
    <row r="222" spans="1:2">
      <c r="A222" s="2">
        <v>46052</v>
      </c>
      <c r="B222">
        <v>21715.099609375</v>
      </c>
    </row>
    <row r="223" spans="1:2">
      <c r="A223" s="2">
        <v>46055</v>
      </c>
      <c r="B223">
        <v>21549.55078125</v>
      </c>
    </row>
    <row r="224" spans="1:2">
      <c r="A224" s="2">
        <v>46056</v>
      </c>
      <c r="B224">
        <v>22200.25</v>
      </c>
    </row>
    <row r="225" spans="1:2">
      <c r="A225" s="2">
        <v>46057</v>
      </c>
      <c r="B225">
        <v>22125.80078125</v>
      </c>
    </row>
    <row r="226" spans="1:2">
      <c r="A226" s="2">
        <v>46058</v>
      </c>
      <c r="B226">
        <v>22119.900390625</v>
      </c>
    </row>
    <row r="227" spans="1:2">
      <c r="A227" s="2">
        <v>46059</v>
      </c>
      <c r="B227">
        <v>21961.349609375</v>
      </c>
    </row>
    <row r="228" spans="1:2">
      <c r="A228" s="2">
        <v>46062</v>
      </c>
      <c r="B228">
        <v>22290.69921875</v>
      </c>
    </row>
    <row r="229" spans="1:2">
      <c r="A229" s="2">
        <v>46063</v>
      </c>
      <c r="B229">
        <v>22210.5</v>
      </c>
    </row>
    <row r="230" spans="1:2">
      <c r="A230" s="2">
        <v>46064</v>
      </c>
      <c r="B230">
        <v>22434.19921875</v>
      </c>
    </row>
    <row r="231" spans="1:2">
      <c r="A231" s="2">
        <v>46065</v>
      </c>
      <c r="B231">
        <v>22386.30078125</v>
      </c>
    </row>
    <row r="232" spans="1:2">
      <c r="A232" s="2">
        <v>46066</v>
      </c>
      <c r="B232">
        <v>22194.900390625</v>
      </c>
    </row>
    <row r="233" spans="1:2">
      <c r="A233" s="2">
        <v>46069</v>
      </c>
      <c r="B233">
        <v>22403.150390625</v>
      </c>
    </row>
    <row r="234" spans="1:2">
      <c r="A234" s="2">
        <v>46070</v>
      </c>
      <c r="B234">
        <v>22494.900390625</v>
      </c>
    </row>
    <row r="235" spans="1:2">
      <c r="A235" s="2">
        <v>46071</v>
      </c>
      <c r="B235">
        <v>22541.94921875</v>
      </c>
    </row>
    <row r="236" spans="1:2">
      <c r="A236" s="2">
        <v>46072</v>
      </c>
      <c r="B236">
        <v>22429.099609375</v>
      </c>
    </row>
    <row r="237" spans="1:2">
      <c r="A237" s="2">
        <v>46073</v>
      </c>
      <c r="B237">
        <v>22452.400390625</v>
      </c>
    </row>
    <row r="238" spans="1:2">
      <c r="A238" s="2">
        <v>46076</v>
      </c>
      <c r="B238">
        <v>22578.55078125</v>
      </c>
    </row>
    <row r="239" spans="1:2">
      <c r="A239" s="2">
        <v>46077</v>
      </c>
      <c r="B239">
        <v>22632.05078125</v>
      </c>
    </row>
    <row r="240" spans="1:2">
      <c r="A240" s="2">
        <v>46078</v>
      </c>
      <c r="B240">
        <v>23051.849609375</v>
      </c>
    </row>
    <row r="241" spans="1:2">
      <c r="A241" s="2">
        <v>46079</v>
      </c>
      <c r="B241">
        <v>23301.650390625</v>
      </c>
    </row>
    <row r="242" spans="1:2">
      <c r="A242" s="2">
        <v>46080</v>
      </c>
      <c r="B242">
        <v>22952.349609375</v>
      </c>
    </row>
    <row r="243" spans="1:2">
      <c r="A243" s="2">
        <v>46083</v>
      </c>
      <c r="B243">
        <v>22956.69921875</v>
      </c>
    </row>
    <row r="244" spans="1:2">
      <c r="A244" s="2">
        <v>46085</v>
      </c>
      <c r="B244">
        <v>22672.19921875</v>
      </c>
    </row>
    <row r="245" spans="1:2">
      <c r="A245" s="2">
        <v>46086</v>
      </c>
      <c r="B245">
        <v>23005.5</v>
      </c>
    </row>
    <row r="246" spans="1:2">
      <c r="A246" s="2">
        <v>46087</v>
      </c>
      <c r="B246">
        <v>22970.19921875</v>
      </c>
    </row>
    <row r="247" spans="1:2">
      <c r="A247" s="2">
        <v>46090</v>
      </c>
      <c r="B247">
        <v>22933.75</v>
      </c>
    </row>
    <row r="248" spans="1:2">
      <c r="A248" s="2">
        <v>46091</v>
      </c>
      <c r="B248">
        <v>23253.650390625</v>
      </c>
    </row>
    <row r="249" spans="1:2">
      <c r="A249" s="2">
        <v>46092</v>
      </c>
      <c r="B249">
        <v>23348.05078125</v>
      </c>
    </row>
    <row r="250" spans="1:2">
      <c r="A250" s="2">
        <v>46093</v>
      </c>
      <c r="B250">
        <v>23275.19921875</v>
      </c>
    </row>
    <row r="251" spans="1:2">
      <c r="A251" s="2">
        <v>46094</v>
      </c>
      <c r="B251">
        <v>22832.19921875</v>
      </c>
    </row>
    <row r="252" spans="1:2">
      <c r="A252" s="2">
        <v>46097</v>
      </c>
      <c r="B252">
        <v>22547.19921875</v>
      </c>
    </row>
    <row r="253" spans="1:2">
      <c r="A253" s="2">
        <v>46098</v>
      </c>
      <c r="B253">
        <v>22597.55078125</v>
      </c>
    </row>
    <row r="254" spans="1:2">
      <c r="A254" s="2">
        <v>46099</v>
      </c>
      <c r="B254">
        <v>22632.599609375</v>
      </c>
    </row>
  </sheetData>
  <hyperlinks>
    <hyperlink ref="C2" r:id="rId1" display="https://finance.yahoo.com/quote/%5ECNXPHARMA/" xr:uid="{37467B29-B5F2-45B7-BB7F-4B7B8B821CD2}"/>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47976-A772-4B57-8357-5F95CDA23309}">
  <dimension ref="A2:L39"/>
  <sheetViews>
    <sheetView zoomScale="67" workbookViewId="0">
      <selection activeCell="J6" sqref="J6"/>
    </sheetView>
  </sheetViews>
  <sheetFormatPr defaultRowHeight="14.4"/>
  <cols>
    <col min="1" max="1" width="15.33203125" customWidth="1"/>
    <col min="2" max="3" width="12.33203125" bestFit="1" customWidth="1"/>
    <col min="4" max="4" width="13" bestFit="1" customWidth="1"/>
    <col min="5" max="5" width="12.33203125" bestFit="1" customWidth="1"/>
    <col min="6" max="6" width="11.109375" bestFit="1" customWidth="1"/>
    <col min="7" max="7" width="12.33203125" bestFit="1" customWidth="1"/>
    <col min="8" max="8" width="11.44140625" bestFit="1" customWidth="1"/>
    <col min="9" max="9" width="30.5546875" customWidth="1"/>
    <col min="10" max="10" width="124.6640625" customWidth="1"/>
    <col min="11" max="11" width="119.5546875" customWidth="1"/>
    <col min="12" max="12" width="129.44140625" customWidth="1"/>
    <col min="13" max="13" width="106.5546875" bestFit="1" customWidth="1"/>
    <col min="14" max="14" width="113.5546875" bestFit="1" customWidth="1"/>
    <col min="15" max="15" width="129.44140625" bestFit="1" customWidth="1"/>
  </cols>
  <sheetData>
    <row r="2" spans="1:12" ht="28.8">
      <c r="A2" s="44" t="s">
        <v>165</v>
      </c>
      <c r="B2" s="42" t="s">
        <v>39</v>
      </c>
      <c r="C2" s="42" t="s">
        <v>43</v>
      </c>
      <c r="D2" s="42" t="s">
        <v>47</v>
      </c>
      <c r="E2" s="42" t="s">
        <v>71</v>
      </c>
      <c r="I2" s="44" t="s">
        <v>166</v>
      </c>
      <c r="J2" s="39" t="s">
        <v>167</v>
      </c>
      <c r="K2" s="39" t="s">
        <v>168</v>
      </c>
      <c r="L2" s="39" t="s">
        <v>169</v>
      </c>
    </row>
    <row r="3" spans="1:12" ht="27" customHeight="1">
      <c r="A3" s="42" t="s">
        <v>169</v>
      </c>
      <c r="B3" s="43">
        <f>'Sun Pharmaceutical Industries'!K$14</f>
        <v>3.2751775504222009</v>
      </c>
      <c r="C3" s="43">
        <f>'Sun Pharmaceutical Industries'!$K$15</f>
        <v>1.0215072479975902</v>
      </c>
      <c r="D3" s="43">
        <f>'Sun Pharmaceutical Industries'!$K$16</f>
        <v>3.3456176062352712</v>
      </c>
      <c r="E3" s="43">
        <f>'Sun Pharmaceutical Industries'!$K$22</f>
        <v>0.10864505746814636</v>
      </c>
      <c r="I3" s="39" t="s">
        <v>170</v>
      </c>
      <c r="J3" s="35" t="s">
        <v>171</v>
      </c>
      <c r="K3" s="35" t="s">
        <v>172</v>
      </c>
      <c r="L3" s="35" t="s">
        <v>173</v>
      </c>
    </row>
    <row r="4" spans="1:12" ht="29.25" customHeight="1">
      <c r="A4" s="42" t="s">
        <v>174</v>
      </c>
      <c r="B4" s="43">
        <f>'Dr. Reddy''s Laboratories'!$K$14</f>
        <v>2.678622883083698</v>
      </c>
      <c r="C4" s="43">
        <f>'Dr. Reddy''s Laboratories'!$K$15</f>
        <v>1.0238091924912682</v>
      </c>
      <c r="D4" s="43">
        <f>'Dr. Reddy''s Laboratories'!$K$16</f>
        <v>2.7423987309185538</v>
      </c>
      <c r="E4" s="43">
        <f>'Dr. Reddy''s Laboratories'!$K$22</f>
        <v>0.10264915776687984</v>
      </c>
      <c r="I4" s="39" t="s">
        <v>175</v>
      </c>
      <c r="J4" s="35" t="s">
        <v>176</v>
      </c>
      <c r="K4" s="35" t="s">
        <v>177</v>
      </c>
      <c r="L4" s="35" t="s">
        <v>178</v>
      </c>
    </row>
    <row r="5" spans="1:12" ht="27.75" customHeight="1">
      <c r="A5" s="42" t="s">
        <v>179</v>
      </c>
      <c r="B5" s="43">
        <f>'CIPLA '!$K$14</f>
        <v>2.8708031037090493</v>
      </c>
      <c r="C5" s="43">
        <f>'CIPLA '!$K$15</f>
        <v>1.0157631666637437</v>
      </c>
      <c r="D5" s="43">
        <f>'CIPLA '!$K$16</f>
        <v>2.9160560514916076</v>
      </c>
      <c r="E5" s="43">
        <f>'CIPLA '!$K$22</f>
        <v>0.11117743084447271</v>
      </c>
      <c r="G5" s="34"/>
      <c r="I5" s="39" t="s">
        <v>180</v>
      </c>
      <c r="J5" s="35" t="s">
        <v>181</v>
      </c>
      <c r="K5" s="35" t="s">
        <v>182</v>
      </c>
      <c r="L5" s="35" t="s">
        <v>183</v>
      </c>
    </row>
    <row r="6" spans="1:12" ht="22.5" customHeight="1">
      <c r="A6" s="42" t="s">
        <v>167</v>
      </c>
      <c r="B6" s="43">
        <f>LUPIN!$K$14</f>
        <v>4.759854126735628</v>
      </c>
      <c r="C6" s="43">
        <f>LUPIN!$K$15</f>
        <v>1.1286437928059219</v>
      </c>
      <c r="D6" s="43">
        <f>LUPIN!$K$16</f>
        <v>5.3721798148018181</v>
      </c>
      <c r="E6" s="43">
        <f>LUPIN!$K$22</f>
        <v>0.12243337281470759</v>
      </c>
      <c r="I6" s="39" t="s">
        <v>184</v>
      </c>
      <c r="J6" s="35" t="s">
        <v>185</v>
      </c>
      <c r="K6" s="35" t="s">
        <v>186</v>
      </c>
      <c r="L6" s="35" t="s">
        <v>187</v>
      </c>
    </row>
    <row r="7" spans="1:12" ht="23.25" customHeight="1">
      <c r="A7" s="42" t="s">
        <v>188</v>
      </c>
      <c r="B7" s="43">
        <f>'Divis Labs'!$K$14</f>
        <v>2.1546629732225302</v>
      </c>
      <c r="C7" s="43">
        <f>'Divis Labs'!$K$15</f>
        <v>1.0013869625520111</v>
      </c>
      <c r="D7" s="43">
        <f>'Divis Labs'!$K$16</f>
        <v>2.1576514100785946</v>
      </c>
      <c r="E7" s="43">
        <f>'Divis Labs'!$K$22</f>
        <v>0.11402756516215738</v>
      </c>
    </row>
    <row r="8" spans="1:12" ht="34.5" customHeight="1">
      <c r="A8" s="42" t="s">
        <v>168</v>
      </c>
      <c r="B8" s="43">
        <f>'Torrent Pharmaceuticals'!$K$14</f>
        <v>2.9109610558567747</v>
      </c>
      <c r="C8" s="43">
        <f>'Torrent Pharmaceuticals'!$K$15</f>
        <v>1.1503160991620289</v>
      </c>
      <c r="D8" s="43">
        <f>'Torrent Pharmaceuticals'!$K$16</f>
        <v>3.3485253665857462</v>
      </c>
      <c r="E8" s="43">
        <f>'Torrent Pharmaceuticals'!$K$22</f>
        <v>9.8457465085626777E-2</v>
      </c>
      <c r="I8" s="44" t="s">
        <v>166</v>
      </c>
      <c r="J8" s="40" t="s">
        <v>179</v>
      </c>
      <c r="K8" s="40" t="s">
        <v>174</v>
      </c>
      <c r="L8" s="40" t="s">
        <v>189</v>
      </c>
    </row>
    <row r="9" spans="1:12" ht="25.5" customHeight="1">
      <c r="I9" s="39" t="s">
        <v>170</v>
      </c>
      <c r="J9" s="35" t="s">
        <v>190</v>
      </c>
      <c r="K9" s="35" t="s">
        <v>191</v>
      </c>
      <c r="L9" s="35" t="s">
        <v>192</v>
      </c>
    </row>
    <row r="10" spans="1:12" ht="24" customHeight="1">
      <c r="I10" s="39" t="s">
        <v>175</v>
      </c>
      <c r="J10" s="35" t="s">
        <v>193</v>
      </c>
      <c r="K10" s="35" t="s">
        <v>194</v>
      </c>
      <c r="L10" s="35" t="s">
        <v>195</v>
      </c>
    </row>
    <row r="11" spans="1:12" ht="24" customHeight="1">
      <c r="A11" s="36" t="s">
        <v>196</v>
      </c>
      <c r="B11" t="s">
        <v>197</v>
      </c>
      <c r="C11" t="s">
        <v>198</v>
      </c>
      <c r="D11" t="s">
        <v>199</v>
      </c>
      <c r="E11" t="s">
        <v>200</v>
      </c>
      <c r="I11" s="39" t="s">
        <v>180</v>
      </c>
      <c r="J11" s="35" t="s">
        <v>201</v>
      </c>
      <c r="K11" s="35" t="s">
        <v>202</v>
      </c>
      <c r="L11" s="35" t="s">
        <v>203</v>
      </c>
    </row>
    <row r="12" spans="1:12" ht="24" customHeight="1">
      <c r="A12" s="37" t="s">
        <v>179</v>
      </c>
      <c r="B12" s="38">
        <v>2.8708031037090493</v>
      </c>
      <c r="C12" s="38">
        <v>2.9160560514916076</v>
      </c>
      <c r="D12" s="38">
        <v>0.11117743084447271</v>
      </c>
      <c r="E12" s="38">
        <v>1.0157631666637437</v>
      </c>
      <c r="I12" s="39" t="s">
        <v>184</v>
      </c>
      <c r="J12" s="35" t="s">
        <v>204</v>
      </c>
      <c r="K12" s="35" t="s">
        <v>205</v>
      </c>
      <c r="L12" s="35" t="s">
        <v>206</v>
      </c>
    </row>
    <row r="13" spans="1:12">
      <c r="A13" s="37" t="s">
        <v>188</v>
      </c>
      <c r="B13" s="38">
        <v>2.1546629732225302</v>
      </c>
      <c r="C13" s="38">
        <v>2.1576514100785946</v>
      </c>
      <c r="D13" s="38">
        <v>0.11402756516215738</v>
      </c>
      <c r="E13" s="38">
        <v>1.0013869625520111</v>
      </c>
    </row>
    <row r="14" spans="1:12">
      <c r="A14" s="37" t="s">
        <v>174</v>
      </c>
      <c r="B14" s="38">
        <v>2.678622883083698</v>
      </c>
      <c r="C14" s="38">
        <v>2.7423987309185538</v>
      </c>
      <c r="D14" s="38">
        <v>0.10264915776687984</v>
      </c>
      <c r="E14" s="38">
        <v>1.0238091924912682</v>
      </c>
    </row>
    <row r="15" spans="1:12">
      <c r="A15" s="37" t="s">
        <v>167</v>
      </c>
      <c r="B15" s="38">
        <v>4.759854126735628</v>
      </c>
      <c r="C15" s="38">
        <v>5.3721798148018181</v>
      </c>
      <c r="D15" s="38">
        <v>0.12243337281470759</v>
      </c>
      <c r="E15" s="38">
        <v>1.1286437928059219</v>
      </c>
    </row>
    <row r="16" spans="1:12">
      <c r="A16" s="37" t="s">
        <v>169</v>
      </c>
      <c r="B16" s="38">
        <v>3.2751775504222009</v>
      </c>
      <c r="C16" s="38">
        <v>3.3456176062352712</v>
      </c>
      <c r="D16" s="38">
        <v>0.10864505746814636</v>
      </c>
      <c r="E16" s="38">
        <v>1.0215072479975902</v>
      </c>
    </row>
    <row r="17" spans="1:5">
      <c r="A17" s="37" t="s">
        <v>168</v>
      </c>
      <c r="B17" s="38">
        <v>2.9109610558567747</v>
      </c>
      <c r="C17" s="38">
        <v>3.3485253665857462</v>
      </c>
      <c r="D17" s="38">
        <v>9.8457465085626777E-2</v>
      </c>
      <c r="E17" s="38">
        <v>1.1503160991620289</v>
      </c>
    </row>
    <row r="18" spans="1:5">
      <c r="A18" s="37" t="s">
        <v>207</v>
      </c>
      <c r="B18">
        <v>18.650081693029883</v>
      </c>
      <c r="C18">
        <v>19.882428980111595</v>
      </c>
      <c r="D18">
        <v>0.65739004914199062</v>
      </c>
      <c r="E18">
        <v>6.3414264616725635</v>
      </c>
    </row>
    <row r="38" spans="10:12">
      <c r="J38" s="34"/>
      <c r="K38" s="34"/>
      <c r="L38" s="34"/>
    </row>
    <row r="39" spans="10:12">
      <c r="J39" s="34"/>
      <c r="K39" s="34"/>
      <c r="L39" s="34"/>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SUNPHARMA Beta Calc</vt:lpstr>
      <vt:lpstr>Sun Pharmaceutical Industries</vt:lpstr>
      <vt:lpstr>CIPLA Beta Calc</vt:lpstr>
      <vt:lpstr>CIPLA </vt:lpstr>
      <vt:lpstr>DR. REDDY Beta Calc</vt:lpstr>
      <vt:lpstr>Dr. Reddy's Laboratories</vt:lpstr>
      <vt:lpstr>LUPIN Beta Calc</vt:lpstr>
      <vt:lpstr>LUPIN</vt:lpstr>
      <vt:lpstr>DIVISLAB Beta Calc</vt:lpstr>
      <vt:lpstr>Divis Labs</vt:lpstr>
      <vt:lpstr>Torrent Beta Calc</vt:lpstr>
      <vt:lpstr>Torrent Pharmaceuticals</vt:lpstr>
      <vt:lpstr>Nifty Pharma</vt:lpstr>
      <vt:lpstr>Comparative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pushp sejwal</dc:creator>
  <cp:keywords/>
  <dc:description/>
  <cp:lastModifiedBy>pushp sejwal</cp:lastModifiedBy>
  <cp:revision/>
  <dcterms:created xsi:type="dcterms:W3CDTF">2026-03-18T11:50:55Z</dcterms:created>
  <dcterms:modified xsi:type="dcterms:W3CDTF">2026-09-14T17:02:02Z</dcterms:modified>
  <cp:category/>
  <cp:contentStatus/>
</cp:coreProperties>
</file>